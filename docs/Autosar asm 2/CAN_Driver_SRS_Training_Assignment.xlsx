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D:\HOC\Fsoft\Assignment\S32Studio\docs\"/>
    </mc:Choice>
  </mc:AlternateContent>
  <xr:revisionPtr revIDLastSave="0" documentId="13_ncr:1_{3FB8B0AB-B5D7-4D86-82A3-E399813EB74A}" xr6:coauthVersionLast="47" xr6:coauthVersionMax="47" xr10:uidLastSave="{00000000-0000-0000-0000-000000000000}"/>
  <bookViews>
    <workbookView xWindow="-120" yWindow="-120" windowWidth="29040" windowHeight="15720" xr2:uid="{00000000-000D-0000-FFFF-FFFF00000000}"/>
  </bookViews>
  <sheets>
    <sheet name="Overview" sheetId="1" r:id="rId1"/>
    <sheet name="Open point" sheetId="7" r:id="rId2"/>
    <sheet name="DET Matrix" sheetId="8" r:id="rId3"/>
    <sheet name="Review Checklist" sheetId="5"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8" l="1"/>
  <c r="E25" i="8"/>
  <c r="F25" i="8"/>
  <c r="G25" i="8"/>
  <c r="H25" i="8"/>
  <c r="I25" i="8"/>
  <c r="J25" i="8"/>
  <c r="K25" i="8"/>
  <c r="C25" i="8"/>
</calcChain>
</file>

<file path=xl/sharedStrings.xml><?xml version="1.0" encoding="utf-8"?>
<sst xmlns="http://schemas.openxmlformats.org/spreadsheetml/2006/main" count="626" uniqueCount="417">
  <si>
    <t>AUTOSAR CAN Driver - SRS Rewrite Training Assignment</t>
  </si>
  <si>
    <t>Item</t>
  </si>
  <si>
    <t>Description</t>
  </si>
  <si>
    <t>Workflow</t>
  </si>
  <si>
    <t>Assignment purpose</t>
  </si>
  <si>
    <t>Rewrite a project-level SRS for the AUTOSAR CAN Driver based on AUTOSAR_SWS_CANDriver.</t>
  </si>
  <si>
    <t>Step 1</t>
  </si>
  <si>
    <t>Study SWS</t>
  </si>
  <si>
    <t>Step 2</t>
  </si>
  <si>
    <t>Draft SRS</t>
  </si>
  <si>
    <t>Step 3</t>
  </si>
  <si>
    <t>Target module</t>
  </si>
  <si>
    <t>CAN Driver only. Excludes CanIf, CanSM, CanTp and CAN Transceiver.</t>
  </si>
  <si>
    <t>Identify applicable SWS requirements</t>
  </si>
  <si>
    <t>Classify function/configuration/error requirements</t>
  </si>
  <si>
    <t>Rewrite in project SRS format</t>
  </si>
  <si>
    <t>Add source ID and verification method</t>
  </si>
  <si>
    <t>Cross-review</t>
  </si>
  <si>
    <t>Training model</t>
  </si>
  <si>
    <t>Two teams work in parallel, then perform cross-review and merge into one baseline package.</t>
  </si>
  <si>
    <t>Step 4</t>
  </si>
  <si>
    <t>Resolve findings</t>
  </si>
  <si>
    <t>Step 5</t>
  </si>
  <si>
    <t>Merge and baseline</t>
  </si>
  <si>
    <t>Primary input</t>
  </si>
  <si>
    <t>AUTOSAR_CP_SWS_CANDriver, project SRS template, CAN Driver configuration and available source code.</t>
  </si>
  <si>
    <t>Correct gaps, duplicates and ambiguity</t>
  </si>
  <si>
    <t>Lead consolidates both teams</t>
  </si>
  <si>
    <t>Release SRS and traceability package</t>
  </si>
  <si>
    <t>Main outputs</t>
  </si>
  <si>
    <t>CAN Driver SRS, SWS-SRS traceability matrix, assumptions/open points and review log.</t>
  </si>
  <si>
    <t>Requirement style</t>
  </si>
  <si>
    <t>Atomic, testable shall-statement with actor, trigger/condition, expected behavior and trace source.</t>
  </si>
  <si>
    <t>Planned duration</t>
  </si>
  <si>
    <t>5 working days</t>
  </si>
  <si>
    <t>Team size</t>
  </si>
  <si>
    <t>10 trainees, 5 members per team. Replace placeholder names before assignment.</t>
  </si>
  <si>
    <t>Classification</t>
  </si>
  <si>
    <t>Internal Use</t>
  </si>
  <si>
    <t>Reference guidance</t>
  </si>
  <si>
    <t>Official reference</t>
  </si>
  <si>
    <t>AUTOSAR Classic Platform R24-11 - Specification of CAN Driver</t>
  </si>
  <si>
    <t>https://www.autosar.org/fileadmin/standards/R24-11/CP/AUTOSAR_CP_SWS_CANDriver.pdf</t>
  </si>
  <si>
    <t>Internal reference</t>
  </si>
  <si>
    <t>06_Autosar_Communication_Modules_CAN.pptx</t>
  </si>
  <si>
    <t>Use internal material for architecture/context; use AUTOSAR SWS IDs as the requirement source.</t>
  </si>
  <si>
    <t>Note</t>
  </si>
  <si>
    <t>If the project uses another AUTOSAR release, retain that release consistently in all SRS and traceability entries.</t>
  </si>
  <si>
    <t>SonDD15</t>
  </si>
  <si>
    <t>Confirm whether the selected CAN hardware resets the RX interrupt flag automatically.</t>
  </si>
  <si>
    <t>Confirm whether CAN FD reception is enabled in the project configuration.</t>
  </si>
  <si>
    <t>MinhNV110</t>
  </si>
  <si>
    <t>MinhPT44</t>
  </si>
  <si>
    <t>HuyPB2</t>
  </si>
  <si>
    <t>-</t>
  </si>
  <si>
    <t>SWS_Can_00492</t>
  </si>
  <si>
    <t>SWS_Can_00494</t>
  </si>
  <si>
    <t>SWS_Can_00493</t>
  </si>
  <si>
    <t>NamHV26</t>
  </si>
  <si>
    <t>CAN_SRS_B451</t>
  </si>
  <si>
    <t>CAN_SRS_B455</t>
  </si>
  <si>
    <t>CAN_SRS_B500</t>
  </si>
  <si>
    <t>ChinhDNT</t>
  </si>
  <si>
    <t>CAN_SRS_B504</t>
  </si>
  <si>
    <t>CAN_SRS_B505</t>
  </si>
  <si>
    <t>SWS_Can_00199</t>
  </si>
  <si>
    <t>SWS_Can_00217</t>
  </si>
  <si>
    <t>SWS_Can_00218</t>
  </si>
  <si>
    <t>SWS_Can_xxxxx</t>
  </si>
  <si>
    <t>B01a</t>
  </si>
  <si>
    <t>CAN_SRS_B02_07</t>
  </si>
  <si>
    <t>SWS_Can_91005</t>
  </si>
  <si>
    <t>SWS_Can_91006</t>
  </si>
  <si>
    <t>SWS_Can_91007</t>
  </si>
  <si>
    <t>SWS_Can_91019</t>
  </si>
  <si>
    <t>SWS_Can_00518</t>
  </si>
  <si>
    <t>SWS_Can_00519</t>
  </si>
  <si>
    <t>OP-B03-02</t>
  </si>
  <si>
    <t>SWS_Can_00362</t>
  </si>
  <si>
    <t>SWS_Can_00363</t>
  </si>
  <si>
    <t>OP-B03-05</t>
  </si>
  <si>
    <t>CAN_SRS_B307; CAN_SRS_B308</t>
  </si>
  <si>
    <t>OP-B03-06</t>
  </si>
  <si>
    <t>OP-B03-09</t>
  </si>
  <si>
    <t>CAN_SRS_B300; CAN_SRS_B302; CAN_SRS_B304</t>
  </si>
  <si>
    <t>SWS_Can_00198</t>
  </si>
  <si>
    <t>SWS_Can_00216</t>
  </si>
  <si>
    <t>OP ID</t>
  </si>
  <si>
    <t>Sub-ID</t>
  </si>
  <si>
    <t>Related SRS / SWS ID</t>
  </si>
  <si>
    <t>Description (gap, ambiguity, assumption)</t>
  </si>
  <si>
    <t>Type</t>
  </si>
  <si>
    <t>Raised by</t>
  </si>
  <si>
    <t>Proposed resolution</t>
  </si>
  <si>
    <t>Status</t>
  </si>
  <si>
    <t>OP-01</t>
  </si>
  <si>
    <t>B05b</t>
  </si>
  <si>
    <t>(example) R24-11 defines no runtime error for X – confirm with mentor</t>
  </si>
  <si>
    <t>Open point</t>
  </si>
  <si>
    <t>Member 9</t>
  </si>
  <si>
    <t>Ask mentor; if none, mark Not applicable</t>
  </si>
  <si>
    <t>Open</t>
  </si>
  <si>
    <t>OP-B01b-01</t>
  </si>
  <si>
    <t>B01b</t>
  </si>
  <si>
    <t>SWS_Can_00226; SWS_Can_00108; CAN_SRS_B151</t>
  </si>
  <si>
    <t>CONFLICT: SWS_Can_00226 Description says polling occurs when CAN_RX_PROCESSING is set to POLLING [p.82]; SWS_Can_00108 says POLLING or MIXED [p.82]. Both are in the same SWS release R24-11.</t>
  </si>
  <si>
    <t>Ambiguity</t>
  </si>
  <si>
    <t>Confirm with mentor which statement governs. CAN_SRS_B151 stays CONFLICT until decided.</t>
  </si>
  <si>
    <t>OP-B01b-02</t>
  </si>
  <si>
    <t>Slide 40 vs SWS_Can_00226/00108</t>
  </si>
  <si>
    <t>CONFLICT: Slide 40 (Autosar_Communication_Module_CAN.pptx, release not stated) describes Can_MainFunction_Read as polling of TX confirmation when CAN_TX_PROCESSING is POLLING; SWS_Can_00226/00108 [p.82] say RX indications / CanRxProcessing. Slides are supporting only; SRS follows the SWS.</t>
  </si>
  <si>
    <t>Confirm with mentor and correct the slide.</t>
  </si>
  <si>
    <t>OP-B01b-03</t>
  </si>
  <si>
    <t>CAN_SRS_B152; Rx sequence (polling)</t>
  </si>
  <si>
    <t>GAP: Slide 42 refers to '9.9 Receive indication (polling mode)'. SWS R24-11 chapter 9 has only 9.1 and 9.2, and 9.1 refers to the CanIf specification for Rx sequence diagrams [p.87]; the CanIf SWS was not provided. Diagram content on slides 41–42 is not available in extracted text — manual verification required. The Rx sequence (polling) therefore covers only the CAN Driver side.</t>
  </si>
  <si>
    <t>Gap</t>
  </si>
  <si>
    <t>Provide the CanIf SWS (same release) or confirm the CAN Driver-only sequence.</t>
  </si>
  <si>
    <t>OP-B01b-04</t>
  </si>
  <si>
    <t>SWS_Can_00279; 00396; 00012; 00395; 00423; 00060; 00501; 00299; 00300; 00489; 00490</t>
  </si>
  <si>
    <t>BOUNDARY: These Rx items are shared with, or not clearly assigned between, B01a (interrupt, HRH, ID/DLC/payload) and B01b (polling); SWS_Can_00395 (CAN_E_DATALOST) belongs to B05b per Task assignment. They are not in the B01b Traceability sheet. Task assignment requires boundaries to be agreed first. Text on p.46 (callbacks implemented as if call context was ISR) has no requirement ID and was not converted.</t>
  </si>
  <si>
    <t>Agree split with Member 1 (B01a) and mentor.</t>
  </si>
  <si>
    <t>OP-B01b-05</t>
  </si>
  <si>
    <t>CAN_SRS_B150–B155</t>
  </si>
  <si>
    <t>GAP: The SWS does not define verification methods. Methods used here (Unit Test, Static Analysis, Code Review) come from the vocabulary in the peer example rows (B100, B400-B563); assigning each to a requirement is a proposal, not a source statement.</t>
  </si>
  <si>
    <t>Mentor to define allowed verification methods.</t>
  </si>
  <si>
    <t>OP-B01b-06</t>
  </si>
  <si>
    <t>SWS_Can_00180; SWS_Can_00007; CAN_SRS_B155</t>
  </si>
  <si>
    <t>GAP: SWS_Can_00180 permits an empty define when no polling is used (kept in Traceability as Not covered); SWS_Can_00007 (complete polling) concerns all event types and is not in the B01b Traceability sheet. Treatment not specified.</t>
  </si>
  <si>
    <t>Confirm with mentor whether to add rows or keep as traceability-only.</t>
  </si>
  <si>
    <t>OP-B01b-07</t>
  </si>
  <si>
    <t>CAN_SRS_B150; B151; B152</t>
  </si>
  <si>
    <t>GAP: Not specified in the provided sources: how a received L-PDU is detected during polling (hardware-specific), preconditions such as Can_Init / controller state for Can_MainFunction_Read, caller of Can_MainFunction_Read beyond 'Available via SchM_Can.h', CanMainFunctionPeriod value, and any DET check for Can_MainFunction_Read (none found in reviewed sections — manual verification required).</t>
  </si>
  <si>
    <t>Obtain hardware/project configuration and confirm with mentor.</t>
  </si>
  <si>
    <t>OP-B01b-08</t>
  </si>
  <si>
    <t>Template sheets</t>
  </si>
  <si>
    <t>INCONSISTENCY: (a) Template example row of Traceability has one more value than its headers (peer rows B400+ follow the headers; headers were followed); (b) Assignment Matrix uses 'Member B1' while Task assignment uses 'Member 2' for B01b; (c) Boundary rules say 'Member 8 (B05a) owns all DET rows' but Task assignment lists B05a = Member 7 and B05b = Member 8; (d) boundary rules mention 'M8-M9' while only 8 members are listed. Owner = account name from Task assignment (as in peer rows).</t>
  </si>
  <si>
    <t>Mentor to confirm numbering and Traceability column layout.</t>
  </si>
  <si>
    <t>OP-B01b-09</t>
  </si>
  <si>
    <t>Source identity</t>
  </si>
  <si>
    <t>GAP: Slides state no AUTOSAR release (slide 23 cites 'AUTOSAR_SWS_CANDriver' only), and the Overview names '06_Autosar_Communication_Modules_CAN.pptx' while the uploaded file is 'Autosar_Communication_Module_CAN.pptx'. SWS release R24-11 is consistent between the PDF metadata/header and the Overview.</t>
  </si>
  <si>
    <t>Confirm the slide file identity.</t>
  </si>
  <si>
    <t>OP-B01b-10</t>
  </si>
  <si>
    <t>ECUC_Can_00438; 00490; 00437; 00484</t>
  </si>
  <si>
    <t>CITATION: Page numbers were taken from the PDF text layer (physical page = printed 'n of 159'). Configuration classes of CanMainFunctionRWPeriodRef and CanHardwareObjectUsesPolling not fully verified — manual verification required. ECUC_Can_* IDs are cited in the SRS Template only, not listed in Traceability.</t>
  </si>
  <si>
    <t>Human check against the PDF.</t>
  </si>
  <si>
    <t>OP-B03-01</t>
  </si>
  <si>
    <t>B03</t>
  </si>
  <si>
    <t>CAN_SRS_B300; SWS_Can_00361</t>
  </si>
  <si>
    <t>SWS_Can_00361 does not state which wakeup source ID is passed to EcuM_SetWakeupEvent. Assumption: the source referenced by CanWakeupSourceRef (ECUC_Can_00359), same as SWS_Can_00364.</t>
  </si>
  <si>
    <t>Assumption</t>
  </si>
  <si>
    <t>Confirm with mentor</t>
  </si>
  <si>
    <t>CAN_SRS_B301; SWS_Can_00360</t>
  </si>
  <si>
    <t>Return value of Can_CheckWakeup is defined as 'API call accepted / not accepted', not 'wakeup detected / not detected'. SRS keeps the SWS meaning; wakeup result is only visible via EcuM_SetWakeupEvent.</t>
  </si>
  <si>
    <t>OP-B03-03</t>
  </si>
  <si>
    <t>B03 / B05b</t>
  </si>
  <si>
    <t>SWS_Can_00369; SWS_Can_00370; SWS_Can_00373</t>
  </si>
  <si>
    <t>These requirements name Can_MainFunction_Wakeup for polling of controller mode transitions, but §8.5.1.5 assigns this to Can_MainFunction_Mode. Treated as SWS text defect.</t>
  </si>
  <si>
    <t>Handled by B05b under Can_MainFunction_Mode; no B03 row</t>
  </si>
  <si>
    <t>OP-B03-04</t>
  </si>
  <si>
    <t>ECUC_Can_00330 (CanWakeupSupport)</t>
  </si>
  <si>
    <t>No SWS shall-requirement defines driver behavior when CanWakeupSupport = FALSE. No SRS row created; used only as precondition in B302/B304.</t>
  </si>
  <si>
    <t>Ask mentor; if none, keep as precondition only</t>
  </si>
  <si>
    <t>B03 / A03</t>
  </si>
  <si>
    <t>CAN_SRS_B305; SWS_Can_00270; SWS_Can_00048</t>
  </si>
  <si>
    <t>Boundary with A03: SLEEP-related transitions (SWS_Can_00257, 00258, 00265, 00266, 00267, 00290, 00294, 00404, 00405) and SWS_Can_00048 stay with A03 (Can_SetControllerMode). B03 covers only the hardware-wakeup transition SLEEP -&gt; STOPPED.</t>
  </si>
  <si>
    <t>Agree with A03 (HuyTNG, KhoaHD10) during cross-review</t>
  </si>
  <si>
    <t>CAN_SRS_B307; CAN_SRS_B308; SWS_Can_00445..00447</t>
  </si>
  <si>
    <t>ICU notification applies only to external CAN controllers. If the target uses on-chip controllers only, B307/B308 become Not applicable.</t>
  </si>
  <si>
    <t>Confirm target hardware with mentor</t>
  </si>
  <si>
    <t>OP-B03-07</t>
  </si>
  <si>
    <t>Wakeup reporting calls EcuM directly (EcuM_CheckWakeup, EcuM_SetWakeupEvent), while Team Standard 3.4 says requirements stop at the call to CanIf. SWS mandates these EcuM calls (§7.7, §8.6.2), so they are kept.</t>
  </si>
  <si>
    <t>Confirm exception to boundary rule with B00 / mentor</t>
  </si>
  <si>
    <t>OP-B03-08</t>
  </si>
  <si>
    <t>The CAN Driver configuration has no parameter for the ICU channel used for wakeup. Assumption: the mapping comes from the project / ICU configuration.</t>
  </si>
  <si>
    <t>Confirm with mentor together with OP-B03-06</t>
  </si>
  <si>
    <t>B03 / A01</t>
  </si>
  <si>
    <t>CAN_SRS_B310; SWS_Can_00602</t>
  </si>
  <si>
    <t>(1) Trigger 'Can_Init' for programming the selective wakeup filter falls in A01 scope. (2) SWS does not explicitly state that non-matching frames shall not wake the controller; kept as assumption.</t>
  </si>
  <si>
    <t>Agree Can_Init trigger with A01; confirm (2) with mentor</t>
  </si>
  <si>
    <t>OP-B03-10</t>
  </si>
  <si>
    <t>B03 / B05a</t>
  </si>
  <si>
    <t>CAN_SRS_B311; CAN_SRS_B312</t>
  </si>
  <si>
    <t>B05a deferred the Can_CheckWakeup DET checks (OP-B05a-13). B03 now owns them as B311/B312. B05a DET Matrix should link to these rows.</t>
  </si>
  <si>
    <t>Inform ChinhDNT; B05a updates DET Matrix links</t>
  </si>
  <si>
    <t>OP-B02-01</t>
  </si>
  <si>
    <t>B02</t>
  </si>
  <si>
    <t>All</t>
  </si>
  <si>
    <t>Use AUTOSAR CP R24-11 as the source release. The available attached PDF is R25-11; source IDs and wording still need verification against R24-11.</t>
  </si>
  <si>
    <t>Author / reviewer: verify in SWS R24-11.</t>
  </si>
  <si>
    <t>OP-B02-02</t>
  </si>
  <si>
    <t>CAN_SRS_B02_01</t>
  </si>
  <si>
    <t>Check whether SWS R24-11 defines Can_MainFunction_BusOff behaviour before Can_Init. Do not add a guessed reaction.</t>
  </si>
  <si>
    <t>Author / CAN-B05: verify in SWS R24-11.</t>
  </si>
  <si>
    <t>OP-B02-03</t>
  </si>
  <si>
    <t>Check the specified error-state result while STOPPED after bus-off and before restart. Do not assign a result without source evidence.</t>
  </si>
  <si>
    <t>OP-B02-04</t>
  </si>
  <si>
    <t>Check invalid-input behaviour when CanDevErrorDetect = FALSE. Do not extrapolate DET-enabled behaviour.</t>
  </si>
  <si>
    <t>OP-B05a-02</t>
  </si>
  <si>
    <t>B05a</t>
  </si>
  <si>
    <t>CAN SWS does not define the ModuleId value or the Det_ReportError prototype (Det_ReportError only listed in §8.6.2). InstanceId = CanIndex (ECUC_Can_00320).</t>
  </si>
  <si>
    <t>Take ModuleId from AUTOSAR BSW Module List; confirm with mentor</t>
  </si>
  <si>
    <t>OP-B05a-05</t>
  </si>
  <si>
    <t>Task assignment</t>
  </si>
  <si>
    <t>Task assignment lists B05a as Member 7; Team Standard 3.4 says "Member 8 (B05a) owns all DET rows".</t>
  </si>
  <si>
    <t>Confirmed owner with team lead and fixed the assignment</t>
  </si>
  <si>
    <t>Closed</t>
  </si>
  <si>
    <t>OP-B05a-06</t>
  </si>
  <si>
    <t>CAN_E_INIT_FAILED (0x09) is defined but no API requirement in R24-11 raises it.</t>
  </si>
  <si>
    <t>No SRS row; Not applicable</t>
  </si>
  <si>
    <t>OP-B05a-09</t>
  </si>
  <si>
    <t>§8.5</t>
  </si>
  <si>
    <t>No DET check is specified for Can_MainFunction_Write/Read/BusOff/Wakeup/Mode.</t>
  </si>
  <si>
    <t>OP-B05a-10</t>
  </si>
  <si>
    <t>SWS says "out of range" for Controller without a numeric definition.</t>
  </si>
  <si>
    <t>Controller invalid if &gt;= number of configured CanController. Align with B04a/B04b</t>
  </si>
  <si>
    <t>OP-B05a-11</t>
  </si>
  <si>
    <t>SWS_Can_00218, SWS_Can_00505</t>
  </si>
  <si>
    <t>These require E_NOT_OK also when DET is off; B05a covers only the DET report.</t>
  </si>
  <si>
    <t>B05b owns the non-DET E_NOT_OK behaviour</t>
  </si>
  <si>
    <t>OP-B05a-12</t>
  </si>
  <si>
    <t>§7.3.5 defines invalid transitions only for CAN_CS_STARTED and CAN_CS_SLEEP; nothing for CAN_CS_STOPPED or an out-of-range Transition value.</t>
  </si>
  <si>
    <t>Ask mentor</t>
  </si>
  <si>
    <t>OP-B05a-13</t>
  </si>
  <si>
    <t>DET Matrix (Deferred)</t>
  </si>
  <si>
    <t>Budget: 9 SRS. Scope: Can_Write, Can_SetControllerMode, Can_Init, Can_DeInit (17 SWS IDs). Can_SetBaudrate DET checks (SWS_Can_00492, 00493, 00494) are covered by B04a. Deferred - Low: Can_GetVersionInfo (00177); Can_Disable/EnableControllerInterrupts (00205, 00206, 00209, 00210); Can_CheckWakeup (00362, 00363); Can_GetControllerErrorState/Mode/Rx/TxErrorCounter (91005-91007, 91016-91018, 00512-00514, 00517-00519); timestamp APIs, SWS DRAFT (00521-00523, 00525, 00526, 00529-00532, 00535-00537). Generic: SWS_Can_00026 (umbrella statement) and SWS_Can_00089 (E_NOT_OK stated explicitly in every in-scope Std_ReturnType source ID).</t>
  </si>
  <si>
    <t>Agree scope with reviewer; next candidates if budget grows: Can_CheckWakeup, Can_Disable/EnableControllerInterrupts</t>
  </si>
  <si>
    <t>OP-B05a-14</t>
  </si>
  <si>
    <t>B04a / B05a</t>
  </si>
  <si>
    <t>SWS_Can_00492, 00493, 00494; CAN_SRS_401-B403</t>
  </si>
  <si>
    <t>B04a rows CAN_SRS_401-403 and B05a rows both traced the Can_SetBaudrate DET requirements (CHK-10 duplicate).</t>
  </si>
  <si>
    <t>Cross-review decision: B04a keeps SWS_Can_00492/00493/00494 (CAN_SRS_401-403); removed from B05a SRS and Traceability</t>
  </si>
  <si>
    <t>OP-B05a-15</t>
  </si>
  <si>
    <t>SWS does not define the check order when several development errors apply to one call; with SWS_Can_00091 only the first one is reported.</t>
  </si>
  <si>
    <t>Order: CAN_E_UNINIT -&gt; Controller/Hth -&gt; other parameters -&gt; state transition. Confirm with mentor</t>
  </si>
  <si>
    <t>OP-B01a-01</t>
  </si>
  <si>
    <t>CAN_SRS_B100; SWS_Can_00396</t>
  </si>
  <si>
    <t>Confirm that the relevant receive hardware objects are configured for interrupt processing.</t>
  </si>
  <si>
    <t>Confirm CanRxProcessing and CanHardwareObjectUsesPolling in the project CAN configuration.</t>
  </si>
  <si>
    <t>OP-B01a-02</t>
  </si>
  <si>
    <t>CAN_SRS_B101; SWS_Can_00420</t>
  </si>
  <si>
    <t>Confirm the RX interrupt-flag reset behavior from the selected CAN hardware information.</t>
  </si>
  <si>
    <t>OP-B01a-03</t>
  </si>
  <si>
    <t>CAN_SRS_B102; SWS_Can_00279</t>
  </si>
  <si>
    <t>Confirm the configured mapping from receive hardware objects to Hoh and abstract CanIf ControllerId.</t>
  </si>
  <si>
    <t>Confirm the receive Hardware Object, Hoh and abstract CanIf ControllerId mapping in the project configuration.</t>
  </si>
  <si>
    <t>OP-B01a-04</t>
  </si>
  <si>
    <t>CAN_SRS_B103; SWS_Can_00423</t>
  </si>
  <si>
    <t>Confirm which configured HRHs accept Extended CAN identifiers.</t>
  </si>
  <si>
    <t>Confirm the identifier type configured for each relevant HRH.</t>
  </si>
  <si>
    <t>OP-B01a-05</t>
  </si>
  <si>
    <t>CAN_SRS_B104; CAN_SRS_B105; SWS_Can_00501; SWS_Can_00416; SWS_Can_00060</t>
  </si>
  <si>
    <t>Confirm CAN FD reception support and the applicable CAN FD configuration.</t>
  </si>
  <si>
    <t>OP-B01a-06</t>
  </si>
  <si>
    <t>CAN_SRS_B105; SWS_Can_00060</t>
  </si>
  <si>
    <t>Confirm whether the CAN hardware receive-buffer representation matches the AUTOSAR byte-array representation or requires an adapted SDU buffer.</t>
  </si>
  <si>
    <t>Confirm the receive-buffer representation of the selected CAN hardware.</t>
  </si>
  <si>
    <t>OP-B04b-01</t>
  </si>
  <si>
    <t>B04b</t>
  </si>
  <si>
    <t>CAN_SRS_B451 - B454</t>
  </si>
  <si>
    <t>Configuration settings (baudrate, timing, FD) have only ECUC_Can IDs in the PDF, no SWS_Can ID. I used the ECUC IDs.</t>
  </si>
  <si>
    <t>Ask mentor: is an ECUC_Can ID accepted as source ID?</t>
  </si>
  <si>
    <t>OP-B04b-02</t>
  </si>
  <si>
    <t>SWS does not say directly that Can_Init uses the default baudrate. I derived it from SWS_Can_00245 and ECUC_Can_00435.</t>
  </si>
  <si>
    <t>Confirm in cross-review.</t>
  </si>
  <si>
    <t>OP-B04b-03</t>
  </si>
  <si>
    <t>Error CAN_E_INIT_FAILED exists in the error table, but no requirement says when it is raised.</t>
  </si>
  <si>
    <t>Pass to ChinhDNT (B05a, owns DET errors).</t>
  </si>
  <si>
    <t>DET error matrix - AUTOSAR CP R24-11 SWS CAN Driver (DET development errors for all APIs)</t>
  </si>
  <si>
    <t>API</t>
  </si>
  <si>
    <t>Service ID (ApiID)</t>
  </si>
  <si>
    <t>CAN_E_PARAM_POINTER
(0x01)</t>
  </si>
  <si>
    <t>CAN_E_PARAM_HANDLE
(0x02)</t>
  </si>
  <si>
    <t>CAN_E_PARAM_DATA_LENGTH
(0x03)</t>
  </si>
  <si>
    <t>CAN_E_PARAM_CONTROLLER
(0x04)</t>
  </si>
  <si>
    <t>CAN_E_UNINIT
(0x05)</t>
  </si>
  <si>
    <t>CAN_E_TRANSITION
(0x06)</t>
  </si>
  <si>
    <t>CAN_E_PARAM_BAUDRATE
(0x07)</t>
  </si>
  <si>
    <t>CAN_E_INIT_FAILED
(0x09)</t>
  </si>
  <si>
    <t>CAN_E_PARAM_LPDU
(0x0A)</t>
  </si>
  <si>
    <t>Return on DET error</t>
  </si>
  <si>
    <t>Extra config condition</t>
  </si>
  <si>
    <t>SRS IDs (CAN_SRS_)</t>
  </si>
  <si>
    <t>Can_Init</t>
  </si>
  <si>
    <t>0x00</t>
  </si>
  <si>
    <t>SWS_Can_00174
SWS_Can_00408</t>
  </si>
  <si>
    <t>None (void)</t>
  </si>
  <si>
    <t>500; 502</t>
  </si>
  <si>
    <t>In scope - Medium</t>
  </si>
  <si>
    <t>Can_GetVersionInfo</t>
  </si>
  <si>
    <t>0x07</t>
  </si>
  <si>
    <t>SWS_Can_00177</t>
  </si>
  <si>
    <t>CanVersionInfoApi</t>
  </si>
  <si>
    <t>Deferred - Low (OP-B05a-13)</t>
  </si>
  <si>
    <t>Can_DeInit</t>
  </si>
  <si>
    <t>0x10</t>
  </si>
  <si>
    <t>SWS_Can_91011
SWS_Can_91012</t>
  </si>
  <si>
    <t>500; 503</t>
  </si>
  <si>
    <t>Can_SetBaudrate</t>
  </si>
  <si>
    <t>0x0F</t>
  </si>
  <si>
    <t>E_NOT_OK</t>
  </si>
  <si>
    <t>CanSetBaudrateApi</t>
  </si>
  <si>
    <t>401; 402; 403 (B04a)</t>
  </si>
  <si>
    <t>Covered by B04a (OP-B05a-14)</t>
  </si>
  <si>
    <t>Can_SetControllerMode</t>
  </si>
  <si>
    <t>0x03</t>
  </si>
  <si>
    <t>SWS_Can_00200
(00409, 00411)</t>
  </si>
  <si>
    <t>500; 501; 504; 505</t>
  </si>
  <si>
    <t>In scope - Critical</t>
  </si>
  <si>
    <t>Can_DisableControllerInterrupts</t>
  </si>
  <si>
    <t>0x04</t>
  </si>
  <si>
    <t>SWS_Can_00206</t>
  </si>
  <si>
    <t>SWS_Can_00205</t>
  </si>
  <si>
    <t>Can_EnableControllerInterrupts</t>
  </si>
  <si>
    <t>0x05</t>
  </si>
  <si>
    <t>SWS_Can_00210</t>
  </si>
  <si>
    <t>SWS_Can_00209</t>
  </si>
  <si>
    <t>Can_CheckWakeup</t>
  </si>
  <si>
    <t>0x0B</t>
  </si>
  <si>
    <t>E_NOT_OK (00089)</t>
  </si>
  <si>
    <t>Can_GetControllerErrorState</t>
  </si>
  <si>
    <t>0x11</t>
  </si>
  <si>
    <t>Can_GetControllerMode</t>
  </si>
  <si>
    <t>0x12</t>
  </si>
  <si>
    <t>SWS_Can_91018</t>
  </si>
  <si>
    <t>SWS_Can_91017</t>
  </si>
  <si>
    <t>SWS_Can_91016</t>
  </si>
  <si>
    <t>Can_GetControllerRxErrorCounter</t>
  </si>
  <si>
    <t>0x30</t>
  </si>
  <si>
    <t>SWS_Can_00514</t>
  </si>
  <si>
    <t>SWS_Can_00513</t>
  </si>
  <si>
    <t>SWS_Can_00512</t>
  </si>
  <si>
    <t>Can_GetControllerTxErrorCounter</t>
  </si>
  <si>
    <t>0x31</t>
  </si>
  <si>
    <t>SWS_Can_00517</t>
  </si>
  <si>
    <t>Can_GetCurrentTime (DRAFT)</t>
  </si>
  <si>
    <t>0x32</t>
  </si>
  <si>
    <t>SWS_Can_00523</t>
  </si>
  <si>
    <t>SWS_Can_00522</t>
  </si>
  <si>
    <t>SWS_Can_00521</t>
  </si>
  <si>
    <t>CanGlobalTimeSupport</t>
  </si>
  <si>
    <t>Can_EnableEgressTimeStamp (DRAFT)</t>
  </si>
  <si>
    <t>0x33</t>
  </si>
  <si>
    <t>SWS_Can_00526</t>
  </si>
  <si>
    <t>SWS_Can_00525</t>
  </si>
  <si>
    <t>Can_GetEgressTimeStamp (DRAFT)</t>
  </si>
  <si>
    <t>0x34</t>
  </si>
  <si>
    <t>SWS_Can_00532</t>
  </si>
  <si>
    <t>SWS_Can_00531</t>
  </si>
  <si>
    <t>SWS_Can_00529</t>
  </si>
  <si>
    <t>SWS_Can_00530</t>
  </si>
  <si>
    <t>Can_GetIngressTimeStamp (DRAFT)</t>
  </si>
  <si>
    <t>0x35</t>
  </si>
  <si>
    <t>SWS_Can_00537</t>
  </si>
  <si>
    <t>SWS_Can_00536</t>
  </si>
  <si>
    <t>SWS_Can_00535</t>
  </si>
  <si>
    <t>Can_Write</t>
  </si>
  <si>
    <t>0x06</t>
  </si>
  <si>
    <t>SWS_Can_00219
SWS_Can_00505</t>
  </si>
  <si>
    <t>500; 501; 506; 507; 508</t>
  </si>
  <si>
    <t>Can_MainFunction_Write</t>
  </si>
  <si>
    <t>0x01</t>
  </si>
  <si>
    <t>N/A (no DET requirement)</t>
  </si>
  <si>
    <t>Can_MainFunction_Read</t>
  </si>
  <si>
    <t>0x08</t>
  </si>
  <si>
    <t>Can_MainFunction_BusOff</t>
  </si>
  <si>
    <t>0x09</t>
  </si>
  <si>
    <t>Can_MainFunction_Wakeup</t>
  </si>
  <si>
    <t>0x0A</t>
  </si>
  <si>
    <t>Can_MainFunction_Mode</t>
  </si>
  <si>
    <t>0x0C</t>
  </si>
  <si>
    <t>Number of APIs with this check</t>
  </si>
  <si>
    <t>CAN_E_INIT_FAILED = 0 APIs: defined in SWS_Can_91019 but not raised by any R24-11 API requirement (OP-B05a-06).</t>
  </si>
  <si>
    <t>Scope: B05a SRS rows cover Can_Init, Can_DeInit, Can_SetControllerMode and Can_Write (9-SRS budget). Can_SetBaudrate DET checks are owned by B04a. Other APIs are kept here as the full R24-11 reference and listed as deferred in OP-B05a-13.</t>
  </si>
  <si>
    <t>CAN Driver SRS Review Checklist and Log</t>
  </si>
  <si>
    <t>Checklist ID</t>
  </si>
  <si>
    <t>Review criterion</t>
  </si>
  <si>
    <t>Pass condition</t>
  </si>
  <si>
    <t>Category</t>
  </si>
  <si>
    <t>CHK-01</t>
  </si>
  <si>
    <t>Requirement uses a mandatory shall-statement.</t>
  </si>
  <si>
    <t>One obligation per requirement.</t>
  </si>
  <si>
    <t>Wording</t>
  </si>
  <si>
    <t>CHK-02</t>
  </si>
  <si>
    <t>Actor is explicitly the CAN Driver or a defined interface.</t>
  </si>
  <si>
    <t>No implicit actor.</t>
  </si>
  <si>
    <t>Clarity</t>
  </si>
  <si>
    <t>CHK-03</t>
  </si>
  <si>
    <t>Trigger and preconditions are stated.</t>
  </si>
  <si>
    <t>Behavior can be reproduced for verification.</t>
  </si>
  <si>
    <t>Testability</t>
  </si>
  <si>
    <t>CHK-04</t>
  </si>
  <si>
    <t>Expected behavior is measurable and unambiguous.</t>
  </si>
  <si>
    <t>No vague terms such as appropriate, fast or normally.</t>
  </si>
  <si>
    <t>CHK-05</t>
  </si>
  <si>
    <t>Exact AUTOSAR SWS source ID is recorded.</t>
  </si>
  <si>
    <t>Every applicable SRS item has backward traceability.</t>
  </si>
  <si>
    <t>Traceability</t>
  </si>
  <si>
    <t>CHK-06</t>
  </si>
  <si>
    <t>Non-applicable SWS requirement has justification.</t>
  </si>
  <si>
    <t>No silent exclusion.</t>
  </si>
  <si>
    <t>Coverage</t>
  </si>
  <si>
    <t>CHK-07</t>
  </si>
  <si>
    <t>DET, runtime error and return behavior are separated.</t>
  </si>
  <si>
    <t>Error type and reaction are correct.</t>
  </si>
  <si>
    <t>Error Handling</t>
  </si>
  <si>
    <t>CHK-08</t>
  </si>
  <si>
    <t>No CanIf, CanSM, CanTp or Transceiver responsibility is assigned to CAN Driver.</t>
  </si>
  <si>
    <t>Module boundary is preserved.</t>
  </si>
  <si>
    <t>Architecture</t>
  </si>
  <si>
    <t>CHK-09</t>
  </si>
  <si>
    <t>Configuration-dependent behavior is marked.</t>
  </si>
  <si>
    <t>Pre-compile/link-time/post-build dependency is recorded where relevant.</t>
  </si>
  <si>
    <t>Configuration</t>
  </si>
  <si>
    <t>CHK-10</t>
  </si>
  <si>
    <t>Requirement is not duplicated or conflicting.</t>
  </si>
  <si>
    <t>Single consistent behavior across the SRS.</t>
  </si>
  <si>
    <t>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</si>
</sst>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6"/>
      <color rgb="FFFFFFFF"/>
      <name val="Carlito"/>
    </font>
    <font>
      <b/>
      <sz val="11"/>
      <color rgb="FFFFFFFF"/>
      <name val="Carlito"/>
    </font>
    <font>
      <u/>
      <sz val="11"/>
      <color theme="10"/>
      <name val="Carlito"/>
    </font>
    <font>
      <sz val="9"/>
      <color rgb="FF000000"/>
      <name val="Arial"/>
      <charset val="1"/>
    </font>
    <font>
      <b/>
      <sz val="11"/>
      <color rgb="FFFFFFFF"/>
      <name val="Arial"/>
      <charset val="1"/>
    </font>
    <font>
      <sz val="10"/>
      <name val="Arial"/>
      <charset val="1"/>
    </font>
    <font>
      <sz val="11"/>
      <color rgb="FF000000"/>
      <name val="Carlito"/>
      <charset val="1"/>
    </font>
    <font>
      <b/>
      <sz val="12"/>
      <color rgb="FF17365D"/>
      <name val="Arial"/>
      <charset val="1"/>
    </font>
    <font>
      <b/>
      <sz val="10"/>
      <color rgb="FFFFFFFF"/>
      <name val="Arial"/>
      <charset val="1"/>
    </font>
    <font>
      <b/>
      <sz val="10"/>
      <name val="Arial"/>
      <charset val="1"/>
    </font>
    <font>
      <i/>
      <sz val="9"/>
      <color rgb="FFC00000"/>
      <name val="Arial"/>
      <charset val="1"/>
    </font>
    <font>
      <sz val="10"/>
      <name val="Times New Roman"/>
    </font>
    <font>
      <sz val="11"/>
      <color theme="1"/>
      <name val="Carlito"/>
    </font>
  </fonts>
  <fills count="16">
    <fill>
      <patternFill patternType="none"/>
    </fill>
    <fill>
      <patternFill patternType="gray125"/>
    </fill>
    <fill>
      <patternFill patternType="solid">
        <fgColor rgb="FF17365D"/>
      </patternFill>
    </fill>
    <fill>
      <patternFill patternType="solid">
        <fgColor rgb="FF1F4E78"/>
      </patternFill>
    </fill>
    <fill>
      <patternFill patternType="solid">
        <fgColor rgb="FF1F4E78"/>
        <bgColor rgb="FF003366"/>
      </patternFill>
    </fill>
    <fill>
      <patternFill patternType="solid">
        <fgColor theme="5" tint="0.79998168889431442"/>
        <bgColor indexed="64"/>
      </patternFill>
    </fill>
    <fill>
      <patternFill patternType="solid">
        <fgColor rgb="FF1F4E78"/>
        <bgColor rgb="FF17365D"/>
      </patternFill>
    </fill>
    <fill>
      <patternFill patternType="solid">
        <fgColor rgb="FFF2F2F2"/>
        <bgColor rgb="FFE2F0D9"/>
      </patternFill>
    </fill>
    <fill>
      <patternFill patternType="solid">
        <fgColor theme="5" tint="0.79989013336588644"/>
        <bgColor rgb="FFFCE4D6"/>
      </patternFill>
    </fill>
    <fill>
      <patternFill patternType="solid">
        <fgColor rgb="FFC6EFCE"/>
        <bgColor rgb="FFC2F1C8"/>
      </patternFill>
    </fill>
    <fill>
      <patternFill patternType="solid">
        <fgColor rgb="FFFCE4D6"/>
        <bgColor rgb="FFFBE3D6"/>
      </patternFill>
    </fill>
    <fill>
      <patternFill patternType="solid">
        <fgColor rgb="FFFFEB9C"/>
        <bgColor rgb="FFFCE4D6"/>
      </patternFill>
    </fill>
    <fill>
      <patternFill patternType="solid">
        <fgColor rgb="FFDDEBF7"/>
        <bgColor rgb="FFD9EAF7"/>
      </patternFill>
    </fill>
    <fill>
      <patternFill patternType="solid">
        <fgColor theme="0"/>
        <bgColor indexed="64"/>
      </patternFill>
    </fill>
    <fill>
      <patternFill patternType="solid">
        <fgColor theme="0"/>
      </patternFill>
    </fill>
    <fill>
      <patternFill patternType="solid">
        <fgColor theme="0"/>
        <bgColor theme="4" tint="0.7999816888943144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999999"/>
      </left>
      <right style="thin">
        <color rgb="FF999999"/>
      </right>
      <top style="thin">
        <color rgb="FF999999"/>
      </top>
      <bottom style="thin">
        <color rgb="FF999999"/>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0" borderId="0" xfId="1" applyAlignment="1">
      <alignment vertical="top" wrapText="1"/>
    </xf>
    <xf numFmtId="0" fontId="5" fillId="4" borderId="1" xfId="0" applyFont="1" applyFill="1" applyBorder="1" applyAlignment="1">
      <alignment horizontal="center" vertical="center" wrapText="1"/>
    </xf>
    <xf numFmtId="0" fontId="6" fillId="5" borderId="1" xfId="0" applyFont="1" applyFill="1" applyBorder="1" applyAlignment="1">
      <alignment vertical="top" wrapText="1"/>
    </xf>
    <xf numFmtId="0" fontId="8" fillId="0" borderId="0" xfId="0" applyFont="1" applyAlignment="1">
      <alignment vertical="center"/>
    </xf>
    <xf numFmtId="0" fontId="0" fillId="0" borderId="0" xfId="0" applyAlignment="1">
      <alignment vertical="center"/>
    </xf>
    <xf numFmtId="0" fontId="9" fillId="6" borderId="1" xfId="0" applyFont="1" applyFill="1" applyBorder="1" applyAlignment="1">
      <alignment vertical="center" wrapText="1"/>
    </xf>
    <xf numFmtId="0" fontId="6" fillId="0" borderId="1" xfId="0" applyFont="1" applyBorder="1" applyAlignment="1">
      <alignment vertical="center" wrapText="1"/>
    </xf>
    <xf numFmtId="0" fontId="6" fillId="7" borderId="1" xfId="0" applyFont="1" applyFill="1" applyBorder="1" applyAlignment="1">
      <alignment vertical="center" wrapText="1"/>
    </xf>
    <xf numFmtId="0" fontId="6" fillId="7" borderId="1" xfId="0" quotePrefix="1" applyFont="1" applyFill="1" applyBorder="1" applyAlignment="1">
      <alignment vertical="center" wrapText="1"/>
    </xf>
    <xf numFmtId="0" fontId="10" fillId="0" borderId="1" xfId="0" applyFont="1" applyBorder="1" applyAlignment="1">
      <alignment vertical="center"/>
    </xf>
    <xf numFmtId="0" fontId="0" fillId="0" borderId="1" xfId="0" applyBorder="1" applyAlignment="1">
      <alignment vertical="center"/>
    </xf>
    <xf numFmtId="0" fontId="11" fillId="0" borderId="0" xfId="0" applyFont="1" applyAlignment="1">
      <alignment vertical="center"/>
    </xf>
    <xf numFmtId="0" fontId="6" fillId="8" borderId="1" xfId="0" applyFont="1" applyFill="1" applyBorder="1" applyAlignment="1">
      <alignment vertical="top" wrapText="1"/>
    </xf>
    <xf numFmtId="0" fontId="4" fillId="7" borderId="2" xfId="0" applyFont="1" applyFill="1" applyBorder="1" applyAlignment="1">
      <alignment vertical="center" wrapText="1"/>
    </xf>
    <xf numFmtId="0" fontId="4" fillId="9" borderId="2" xfId="0" applyFont="1" applyFill="1" applyBorder="1" applyAlignment="1">
      <alignment vertical="center" wrapText="1"/>
    </xf>
    <xf numFmtId="0" fontId="4" fillId="10" borderId="2" xfId="0" applyFont="1" applyFill="1" applyBorder="1" applyAlignment="1">
      <alignment vertical="center" wrapText="1"/>
    </xf>
    <xf numFmtId="0" fontId="6" fillId="11" borderId="1" xfId="0" applyFont="1" applyFill="1" applyBorder="1" applyAlignment="1">
      <alignment vertical="center" wrapText="1"/>
    </xf>
    <xf numFmtId="0" fontId="4" fillId="12" borderId="2" xfId="0" applyFont="1" applyFill="1" applyBorder="1" applyAlignment="1">
      <alignment vertical="center" wrapText="1"/>
    </xf>
    <xf numFmtId="0" fontId="11" fillId="0" borderId="0" xfId="0" applyFont="1"/>
    <xf numFmtId="0" fontId="12" fillId="5" borderId="3" xfId="0" applyFont="1" applyFill="1" applyBorder="1" applyAlignment="1">
      <alignment vertical="top" wrapText="1"/>
    </xf>
    <xf numFmtId="0" fontId="6" fillId="8" borderId="0" xfId="0" applyFont="1" applyFill="1" applyAlignment="1">
      <alignment vertical="top" wrapText="1"/>
    </xf>
    <xf numFmtId="0" fontId="12" fillId="5" borderId="0" xfId="0" applyFont="1" applyFill="1" applyAlignment="1">
      <alignment vertical="top" wrapText="1"/>
    </xf>
    <xf numFmtId="0" fontId="7" fillId="0" borderId="0" xfId="0" applyFont="1"/>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xf>
    <xf numFmtId="0" fontId="2" fillId="14" borderId="4" xfId="0" applyFont="1" applyFill="1" applyBorder="1" applyAlignment="1">
      <alignment horizontal="center" vertical="center" wrapText="1"/>
    </xf>
    <xf numFmtId="0" fontId="0" fillId="13" borderId="4" xfId="0" applyFill="1" applyBorder="1" applyAlignment="1">
      <alignment horizontal="left" vertical="top" wrapText="1"/>
    </xf>
    <xf numFmtId="0" fontId="0" fillId="13" borderId="4" xfId="0" applyFill="1" applyBorder="1" applyAlignment="1">
      <alignment horizontal="left" vertical="top"/>
    </xf>
    <xf numFmtId="0" fontId="0" fillId="13" borderId="4" xfId="0" applyFill="1" applyBorder="1" applyAlignment="1">
      <alignment wrapText="1"/>
    </xf>
    <xf numFmtId="0" fontId="0" fillId="13" borderId="4" xfId="0" applyFill="1" applyBorder="1" applyAlignment="1">
      <alignment vertical="top"/>
    </xf>
    <xf numFmtId="0" fontId="0" fillId="13" borderId="4" xfId="0" applyFill="1" applyBorder="1" applyAlignment="1">
      <alignment vertical="top" wrapText="1"/>
    </xf>
    <xf numFmtId="0" fontId="4" fillId="13" borderId="4" xfId="0" applyFont="1" applyFill="1" applyBorder="1"/>
    <xf numFmtId="0" fontId="13" fillId="15" borderId="4" xfId="0" applyFont="1" applyFill="1" applyBorder="1" applyAlignment="1">
      <alignmen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ecklistTable" displayName="ChecklistTable" ref="A3:D13">
  <tableColumns count="4">
    <tableColumn id="1" xr3:uid="{00000000-0010-0000-0300-000001000000}" name="Checklist ID"/>
    <tableColumn id="2" xr3:uid="{00000000-0010-0000-0300-000002000000}" name="Review criterion"/>
    <tableColumn id="3" xr3:uid="{00000000-0010-0000-0300-000003000000}" name="Pass condition"/>
    <tableColumn id="4" xr3:uid="{00000000-0010-0000-0300-000004000000}" name="Catego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utosar.org/fileadmin/standards/R24-11/CP/AUTOSAR_CP_SWS_CANDriver.pdf"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topLeftCell="A15" zoomScaleNormal="100" zoomScaleSheetLayoutView="100" workbookViewId="0">
      <selection activeCell="A9" sqref="A9:B9"/>
    </sheetView>
  </sheetViews>
  <sheetFormatPr defaultRowHeight="14.25"/>
  <cols>
    <col min="1" max="1" width="22" customWidth="1"/>
    <col min="2" max="2" width="42" customWidth="1"/>
    <col min="3" max="3" width="34" customWidth="1"/>
    <col min="4" max="8" width="16" customWidth="1"/>
  </cols>
  <sheetData>
    <row r="1" spans="1:8" ht="30" customHeight="1">
      <c r="A1" s="27" t="s">
        <v>0</v>
      </c>
      <c r="B1" s="27"/>
      <c r="C1" s="27"/>
      <c r="D1" s="27"/>
      <c r="E1" s="27"/>
      <c r="F1" s="27"/>
      <c r="G1" s="27"/>
      <c r="H1" s="27"/>
    </row>
    <row r="2" spans="1:8">
      <c r="A2" s="2"/>
      <c r="B2" s="2"/>
      <c r="C2" s="2"/>
      <c r="D2" s="2"/>
      <c r="E2" s="2"/>
      <c r="F2" s="2"/>
      <c r="G2" s="2"/>
      <c r="H2" s="2"/>
    </row>
    <row r="3" spans="1:8" ht="15">
      <c r="A3" s="1" t="s">
        <v>1</v>
      </c>
      <c r="B3" s="1" t="s">
        <v>2</v>
      </c>
      <c r="C3" s="2"/>
      <c r="D3" s="28" t="s">
        <v>3</v>
      </c>
      <c r="E3" s="28"/>
      <c r="F3" s="28"/>
      <c r="G3" s="28"/>
      <c r="H3" s="28"/>
    </row>
    <row r="4" spans="1:8" ht="30.75" customHeight="1">
      <c r="A4" s="3" t="s">
        <v>4</v>
      </c>
      <c r="B4" s="3" t="s">
        <v>5</v>
      </c>
      <c r="C4" s="2"/>
      <c r="D4" s="3" t="s">
        <v>6</v>
      </c>
      <c r="E4" s="3" t="s">
        <v>7</v>
      </c>
      <c r="F4" s="3" t="s">
        <v>8</v>
      </c>
      <c r="G4" s="3" t="s">
        <v>9</v>
      </c>
      <c r="H4" s="3" t="s">
        <v>10</v>
      </c>
    </row>
    <row r="5" spans="1:8" ht="43.5" customHeight="1">
      <c r="A5" s="3" t="s">
        <v>11</v>
      </c>
      <c r="B5" s="3" t="s">
        <v>12</v>
      </c>
      <c r="C5" s="2"/>
      <c r="D5" s="3" t="s">
        <v>13</v>
      </c>
      <c r="E5" s="3" t="s">
        <v>14</v>
      </c>
      <c r="F5" s="3" t="s">
        <v>15</v>
      </c>
      <c r="G5" s="3" t="s">
        <v>16</v>
      </c>
      <c r="H5" s="3" t="s">
        <v>17</v>
      </c>
    </row>
    <row r="6" spans="1:8" ht="51" customHeight="1">
      <c r="A6" s="3" t="s">
        <v>18</v>
      </c>
      <c r="B6" s="3" t="s">
        <v>19</v>
      </c>
      <c r="C6" s="2"/>
      <c r="D6" s="3" t="s">
        <v>20</v>
      </c>
      <c r="E6" s="3" t="s">
        <v>21</v>
      </c>
      <c r="F6" s="3" t="s">
        <v>22</v>
      </c>
      <c r="G6" s="3" t="s">
        <v>23</v>
      </c>
      <c r="H6" s="3"/>
    </row>
    <row r="7" spans="1:8" ht="51.75" customHeight="1">
      <c r="A7" s="3" t="s">
        <v>24</v>
      </c>
      <c r="B7" s="3" t="s">
        <v>25</v>
      </c>
      <c r="C7" s="2"/>
      <c r="D7" s="3" t="s">
        <v>26</v>
      </c>
      <c r="E7" s="3" t="s">
        <v>27</v>
      </c>
      <c r="F7" s="3" t="s">
        <v>28</v>
      </c>
      <c r="G7" s="3"/>
      <c r="H7" s="3"/>
    </row>
    <row r="8" spans="1:8" ht="28.5">
      <c r="A8" s="3" t="s">
        <v>29</v>
      </c>
      <c r="B8" s="3" t="s">
        <v>30</v>
      </c>
      <c r="C8" s="2"/>
      <c r="D8" s="2"/>
      <c r="E8" s="2"/>
      <c r="F8" s="2"/>
      <c r="G8" s="2"/>
      <c r="H8" s="2"/>
    </row>
    <row r="9" spans="1:8" ht="33" customHeight="1">
      <c r="A9" s="3" t="s">
        <v>31</v>
      </c>
      <c r="B9" s="3" t="s">
        <v>32</v>
      </c>
      <c r="C9" s="2"/>
      <c r="D9" s="2"/>
      <c r="E9" s="2"/>
      <c r="F9" s="2"/>
      <c r="G9" s="2"/>
      <c r="H9" s="2"/>
    </row>
    <row r="10" spans="1:8">
      <c r="A10" s="3" t="s">
        <v>33</v>
      </c>
      <c r="B10" s="3" t="s">
        <v>34</v>
      </c>
      <c r="C10" s="2"/>
      <c r="D10" s="2"/>
      <c r="E10" s="2"/>
      <c r="F10" s="2"/>
      <c r="G10" s="2"/>
      <c r="H10" s="2"/>
    </row>
    <row r="11" spans="1:8" ht="54" customHeight="1">
      <c r="A11" s="3" t="s">
        <v>35</v>
      </c>
      <c r="B11" s="3" t="s">
        <v>36</v>
      </c>
      <c r="C11" s="2"/>
      <c r="D11" s="2"/>
      <c r="E11" s="2"/>
      <c r="F11" s="2"/>
      <c r="G11" s="2"/>
      <c r="H11" s="2"/>
    </row>
    <row r="12" spans="1:8">
      <c r="A12" s="3" t="s">
        <v>37</v>
      </c>
      <c r="B12" s="3" t="s">
        <v>38</v>
      </c>
      <c r="C12" s="2"/>
      <c r="D12" s="2"/>
      <c r="E12" s="2"/>
      <c r="F12" s="2"/>
      <c r="G12" s="2"/>
      <c r="H12" s="2"/>
    </row>
    <row r="13" spans="1:8">
      <c r="A13" s="2"/>
      <c r="B13" s="2"/>
      <c r="C13" s="2"/>
      <c r="D13" s="2"/>
      <c r="E13" s="2"/>
      <c r="F13" s="2"/>
      <c r="G13" s="2"/>
      <c r="H13" s="2"/>
    </row>
    <row r="14" spans="1:8" ht="15">
      <c r="A14" s="28" t="s">
        <v>39</v>
      </c>
      <c r="B14" s="28"/>
      <c r="C14" s="28"/>
      <c r="D14" s="28"/>
      <c r="E14" s="28"/>
      <c r="F14" s="28"/>
      <c r="G14" s="28"/>
      <c r="H14" s="28"/>
    </row>
    <row r="15" spans="1:8" ht="55.5" customHeight="1">
      <c r="A15" s="3" t="s">
        <v>40</v>
      </c>
      <c r="B15" s="3" t="s">
        <v>41</v>
      </c>
      <c r="C15" s="4" t="s">
        <v>42</v>
      </c>
      <c r="D15" s="3"/>
      <c r="E15" s="3"/>
      <c r="F15" s="3"/>
      <c r="G15" s="3"/>
      <c r="H15" s="3"/>
    </row>
    <row r="16" spans="1:8" ht="59.25" customHeight="1">
      <c r="A16" s="3" t="s">
        <v>43</v>
      </c>
      <c r="B16" s="3" t="s">
        <v>44</v>
      </c>
      <c r="C16" s="3" t="s">
        <v>45</v>
      </c>
      <c r="D16" s="3"/>
      <c r="E16" s="3"/>
      <c r="F16" s="3"/>
      <c r="G16" s="3"/>
      <c r="H16" s="3"/>
    </row>
    <row r="17" spans="1:8" ht="57.75" customHeight="1">
      <c r="A17" s="3" t="s">
        <v>46</v>
      </c>
      <c r="B17" s="3" t="s">
        <v>47</v>
      </c>
      <c r="C17" s="3"/>
      <c r="D17" s="3"/>
      <c r="E17" s="3"/>
      <c r="F17" s="3"/>
      <c r="G17" s="3"/>
      <c r="H17" s="3"/>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sheetData>
  <mergeCells count="3">
    <mergeCell ref="A1:H1"/>
    <mergeCell ref="D3:H3"/>
    <mergeCell ref="A14:H14"/>
  </mergeCells>
  <hyperlinks>
    <hyperlink ref="C15" r:id="rId1" xr:uid="{83B679AB-AC5F-4B5C-B5FC-940C054F23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A7B2-CEA6-4859-9345-B24F9376D13D}">
  <dimension ref="A1:H48"/>
  <sheetViews>
    <sheetView topLeftCell="A3" zoomScale="55" zoomScaleNormal="55" workbookViewId="0">
      <selection activeCell="H6" sqref="H6"/>
    </sheetView>
  </sheetViews>
  <sheetFormatPr defaultRowHeight="14.25"/>
  <cols>
    <col min="1" max="1" width="24.125" customWidth="1"/>
    <col min="2" max="2" width="13.625" customWidth="1"/>
    <col min="3" max="3" width="25.375" customWidth="1"/>
    <col min="4" max="4" width="36.875" customWidth="1"/>
    <col min="5" max="5" width="13.5" customWidth="1"/>
    <col min="6" max="6" width="12.125" customWidth="1"/>
    <col min="7" max="7" width="20.25" customWidth="1"/>
    <col min="8" max="8" width="9.875" customWidth="1"/>
  </cols>
  <sheetData>
    <row r="1" spans="1:8" ht="30">
      <c r="A1" s="5" t="s">
        <v>87</v>
      </c>
      <c r="B1" s="5" t="s">
        <v>88</v>
      </c>
      <c r="C1" s="5" t="s">
        <v>89</v>
      </c>
      <c r="D1" s="5" t="s">
        <v>90</v>
      </c>
      <c r="E1" s="5" t="s">
        <v>91</v>
      </c>
      <c r="F1" s="5" t="s">
        <v>92</v>
      </c>
      <c r="G1" s="5" t="s">
        <v>93</v>
      </c>
      <c r="H1" s="5" t="s">
        <v>94</v>
      </c>
    </row>
    <row r="2" spans="1:8" ht="25.5">
      <c r="A2" s="6" t="s">
        <v>95</v>
      </c>
      <c r="B2" s="6" t="s">
        <v>96</v>
      </c>
      <c r="C2" s="6" t="s">
        <v>68</v>
      </c>
      <c r="D2" s="6" t="s">
        <v>97</v>
      </c>
      <c r="E2" s="6" t="s">
        <v>98</v>
      </c>
      <c r="F2" s="6" t="s">
        <v>99</v>
      </c>
      <c r="G2" s="6" t="s">
        <v>100</v>
      </c>
      <c r="H2" s="6" t="s">
        <v>101</v>
      </c>
    </row>
    <row r="3" spans="1:8" ht="63.75">
      <c r="A3" s="6" t="s">
        <v>102</v>
      </c>
      <c r="B3" s="6" t="s">
        <v>103</v>
      </c>
      <c r="C3" s="6" t="s">
        <v>104</v>
      </c>
      <c r="D3" s="6" t="s">
        <v>105</v>
      </c>
      <c r="E3" s="6" t="s">
        <v>106</v>
      </c>
      <c r="F3" s="6" t="s">
        <v>51</v>
      </c>
      <c r="G3" s="6" t="s">
        <v>107</v>
      </c>
      <c r="H3" s="6" t="s">
        <v>101</v>
      </c>
    </row>
    <row r="4" spans="1:8" ht="102">
      <c r="A4" s="6" t="s">
        <v>108</v>
      </c>
      <c r="B4" s="6" t="s">
        <v>103</v>
      </c>
      <c r="C4" s="6" t="s">
        <v>109</v>
      </c>
      <c r="D4" s="6" t="s">
        <v>110</v>
      </c>
      <c r="E4" s="6" t="s">
        <v>106</v>
      </c>
      <c r="F4" s="6" t="s">
        <v>51</v>
      </c>
      <c r="G4" s="6" t="s">
        <v>111</v>
      </c>
      <c r="H4" s="6" t="s">
        <v>101</v>
      </c>
    </row>
    <row r="5" spans="1:8" ht="114.75">
      <c r="A5" s="6" t="s">
        <v>112</v>
      </c>
      <c r="B5" s="6" t="s">
        <v>103</v>
      </c>
      <c r="C5" s="6" t="s">
        <v>113</v>
      </c>
      <c r="D5" s="6" t="s">
        <v>114</v>
      </c>
      <c r="E5" s="6" t="s">
        <v>115</v>
      </c>
      <c r="F5" s="6" t="s">
        <v>51</v>
      </c>
      <c r="G5" s="6" t="s">
        <v>116</v>
      </c>
      <c r="H5" s="6" t="s">
        <v>101</v>
      </c>
    </row>
    <row r="6" spans="1:8" ht="127.5">
      <c r="A6" s="6" t="s">
        <v>117</v>
      </c>
      <c r="B6" s="6" t="s">
        <v>103</v>
      </c>
      <c r="C6" s="6" t="s">
        <v>118</v>
      </c>
      <c r="D6" s="6" t="s">
        <v>119</v>
      </c>
      <c r="E6" s="6" t="s">
        <v>98</v>
      </c>
      <c r="F6" s="6" t="s">
        <v>51</v>
      </c>
      <c r="G6" s="6" t="s">
        <v>120</v>
      </c>
      <c r="H6" s="6" t="s">
        <v>101</v>
      </c>
    </row>
    <row r="7" spans="1:8" ht="76.5">
      <c r="A7" s="6" t="s">
        <v>121</v>
      </c>
      <c r="B7" s="6" t="s">
        <v>103</v>
      </c>
      <c r="C7" s="6" t="s">
        <v>122</v>
      </c>
      <c r="D7" s="6" t="s">
        <v>123</v>
      </c>
      <c r="E7" s="6" t="s">
        <v>115</v>
      </c>
      <c r="F7" s="6" t="s">
        <v>51</v>
      </c>
      <c r="G7" s="6" t="s">
        <v>124</v>
      </c>
      <c r="H7" s="6" t="s">
        <v>101</v>
      </c>
    </row>
    <row r="8" spans="1:8" ht="76.5">
      <c r="A8" s="6" t="s">
        <v>125</v>
      </c>
      <c r="B8" s="6" t="s">
        <v>103</v>
      </c>
      <c r="C8" s="6" t="s">
        <v>126</v>
      </c>
      <c r="D8" s="6" t="s">
        <v>127</v>
      </c>
      <c r="E8" s="6" t="s">
        <v>115</v>
      </c>
      <c r="F8" s="6" t="s">
        <v>51</v>
      </c>
      <c r="G8" s="6" t="s">
        <v>128</v>
      </c>
      <c r="H8" s="6" t="s">
        <v>101</v>
      </c>
    </row>
    <row r="9" spans="1:8" ht="127.5">
      <c r="A9" s="6" t="s">
        <v>129</v>
      </c>
      <c r="B9" s="6" t="s">
        <v>103</v>
      </c>
      <c r="C9" s="6" t="s">
        <v>130</v>
      </c>
      <c r="D9" s="6" t="s">
        <v>131</v>
      </c>
      <c r="E9" s="6" t="s">
        <v>115</v>
      </c>
      <c r="F9" s="6" t="s">
        <v>51</v>
      </c>
      <c r="G9" s="6" t="s">
        <v>132</v>
      </c>
      <c r="H9" s="6" t="s">
        <v>101</v>
      </c>
    </row>
    <row r="10" spans="1:8" ht="153">
      <c r="A10" s="6" t="s">
        <v>133</v>
      </c>
      <c r="B10" s="6" t="s">
        <v>103</v>
      </c>
      <c r="C10" s="6" t="s">
        <v>134</v>
      </c>
      <c r="D10" s="6" t="s">
        <v>135</v>
      </c>
      <c r="E10" s="6" t="s">
        <v>98</v>
      </c>
      <c r="F10" s="6" t="s">
        <v>51</v>
      </c>
      <c r="G10" s="6" t="s">
        <v>136</v>
      </c>
      <c r="H10" s="6" t="s">
        <v>101</v>
      </c>
    </row>
    <row r="11" spans="1:8" ht="102">
      <c r="A11" s="6" t="s">
        <v>137</v>
      </c>
      <c r="B11" s="6" t="s">
        <v>103</v>
      </c>
      <c r="C11" s="6" t="s">
        <v>138</v>
      </c>
      <c r="D11" s="6" t="s">
        <v>139</v>
      </c>
      <c r="E11" s="6" t="s">
        <v>115</v>
      </c>
      <c r="F11" s="6" t="s">
        <v>51</v>
      </c>
      <c r="G11" s="6" t="s">
        <v>140</v>
      </c>
      <c r="H11" s="6" t="s">
        <v>101</v>
      </c>
    </row>
    <row r="12" spans="1:8" ht="102">
      <c r="A12" s="6" t="s">
        <v>141</v>
      </c>
      <c r="B12" s="6" t="s">
        <v>103</v>
      </c>
      <c r="C12" s="6" t="s">
        <v>142</v>
      </c>
      <c r="D12" s="6" t="s">
        <v>143</v>
      </c>
      <c r="E12" s="6" t="s">
        <v>98</v>
      </c>
      <c r="F12" s="6" t="s">
        <v>51</v>
      </c>
      <c r="G12" s="6" t="s">
        <v>144</v>
      </c>
      <c r="H12" s="6" t="s">
        <v>101</v>
      </c>
    </row>
    <row r="13" spans="1:8" ht="63.75">
      <c r="A13" s="16" t="s">
        <v>145</v>
      </c>
      <c r="B13" s="16" t="s">
        <v>146</v>
      </c>
      <c r="C13" s="16" t="s">
        <v>147</v>
      </c>
      <c r="D13" s="16" t="s">
        <v>148</v>
      </c>
      <c r="E13" s="16" t="s">
        <v>149</v>
      </c>
      <c r="F13" s="16" t="s">
        <v>53</v>
      </c>
      <c r="G13" s="16" t="s">
        <v>150</v>
      </c>
      <c r="H13" s="23" t="s">
        <v>101</v>
      </c>
    </row>
    <row r="14" spans="1:8" ht="63.75">
      <c r="A14" s="16" t="s">
        <v>77</v>
      </c>
      <c r="B14" s="16" t="s">
        <v>146</v>
      </c>
      <c r="C14" s="16" t="s">
        <v>151</v>
      </c>
      <c r="D14" s="16" t="s">
        <v>152</v>
      </c>
      <c r="E14" s="16" t="s">
        <v>106</v>
      </c>
      <c r="F14" s="16" t="s">
        <v>53</v>
      </c>
      <c r="G14" s="16" t="s">
        <v>150</v>
      </c>
      <c r="H14" s="23" t="s">
        <v>101</v>
      </c>
    </row>
    <row r="15" spans="1:8" ht="63.75">
      <c r="A15" s="16" t="s">
        <v>153</v>
      </c>
      <c r="B15" s="16" t="s">
        <v>154</v>
      </c>
      <c r="C15" s="16" t="s">
        <v>155</v>
      </c>
      <c r="D15" s="16" t="s">
        <v>156</v>
      </c>
      <c r="E15" s="16" t="s">
        <v>115</v>
      </c>
      <c r="F15" s="16" t="s">
        <v>53</v>
      </c>
      <c r="G15" s="16" t="s">
        <v>157</v>
      </c>
      <c r="H15" s="23" t="s">
        <v>101</v>
      </c>
    </row>
    <row r="16" spans="1:8" ht="51">
      <c r="A16" s="16" t="s">
        <v>158</v>
      </c>
      <c r="B16" s="16" t="s">
        <v>146</v>
      </c>
      <c r="C16" s="16" t="s">
        <v>159</v>
      </c>
      <c r="D16" s="16" t="s">
        <v>160</v>
      </c>
      <c r="E16" s="16" t="s">
        <v>115</v>
      </c>
      <c r="F16" s="16" t="s">
        <v>53</v>
      </c>
      <c r="G16" s="16" t="s">
        <v>161</v>
      </c>
      <c r="H16" s="23" t="s">
        <v>101</v>
      </c>
    </row>
    <row r="17" spans="1:8" ht="89.25">
      <c r="A17" s="16" t="s">
        <v>80</v>
      </c>
      <c r="B17" s="16" t="s">
        <v>162</v>
      </c>
      <c r="C17" s="16" t="s">
        <v>163</v>
      </c>
      <c r="D17" s="16" t="s">
        <v>164</v>
      </c>
      <c r="E17" s="16" t="s">
        <v>149</v>
      </c>
      <c r="F17" s="16" t="s">
        <v>53</v>
      </c>
      <c r="G17" s="16" t="s">
        <v>165</v>
      </c>
      <c r="H17" s="23" t="s">
        <v>101</v>
      </c>
    </row>
    <row r="18" spans="1:8" ht="38.25">
      <c r="A18" s="16" t="s">
        <v>82</v>
      </c>
      <c r="B18" s="16" t="s">
        <v>146</v>
      </c>
      <c r="C18" s="16" t="s">
        <v>166</v>
      </c>
      <c r="D18" s="16" t="s">
        <v>167</v>
      </c>
      <c r="E18" s="16" t="s">
        <v>98</v>
      </c>
      <c r="F18" s="16" t="s">
        <v>53</v>
      </c>
      <c r="G18" s="16" t="s">
        <v>168</v>
      </c>
      <c r="H18" s="23" t="s">
        <v>101</v>
      </c>
    </row>
    <row r="19" spans="1:8" ht="76.5">
      <c r="A19" s="16" t="s">
        <v>169</v>
      </c>
      <c r="B19" s="16" t="s">
        <v>146</v>
      </c>
      <c r="C19" s="16" t="s">
        <v>84</v>
      </c>
      <c r="D19" s="16" t="s">
        <v>170</v>
      </c>
      <c r="E19" s="16" t="s">
        <v>149</v>
      </c>
      <c r="F19" s="16" t="s">
        <v>53</v>
      </c>
      <c r="G19" s="16" t="s">
        <v>171</v>
      </c>
      <c r="H19" s="23" t="s">
        <v>101</v>
      </c>
    </row>
    <row r="20" spans="1:8" ht="51">
      <c r="A20" s="16" t="s">
        <v>172</v>
      </c>
      <c r="B20" s="16" t="s">
        <v>146</v>
      </c>
      <c r="C20" s="16" t="s">
        <v>81</v>
      </c>
      <c r="D20" s="16" t="s">
        <v>173</v>
      </c>
      <c r="E20" s="16" t="s">
        <v>149</v>
      </c>
      <c r="F20" s="16" t="s">
        <v>53</v>
      </c>
      <c r="G20" s="16" t="s">
        <v>174</v>
      </c>
      <c r="H20" s="16" t="s">
        <v>101</v>
      </c>
    </row>
    <row r="21" spans="1:8" ht="63.75">
      <c r="A21" s="16" t="s">
        <v>83</v>
      </c>
      <c r="B21" s="16" t="s">
        <v>175</v>
      </c>
      <c r="C21" s="16" t="s">
        <v>176</v>
      </c>
      <c r="D21" s="16" t="s">
        <v>177</v>
      </c>
      <c r="E21" s="16" t="s">
        <v>149</v>
      </c>
      <c r="F21" s="16" t="s">
        <v>53</v>
      </c>
      <c r="G21" s="16" t="s">
        <v>178</v>
      </c>
      <c r="H21" s="23" t="s">
        <v>101</v>
      </c>
    </row>
    <row r="22" spans="1:8" ht="51">
      <c r="A22" s="16" t="s">
        <v>179</v>
      </c>
      <c r="B22" s="16" t="s">
        <v>180</v>
      </c>
      <c r="C22" s="16" t="s">
        <v>181</v>
      </c>
      <c r="D22" s="16" t="s">
        <v>182</v>
      </c>
      <c r="E22" s="16" t="s">
        <v>98</v>
      </c>
      <c r="F22" s="16" t="s">
        <v>53</v>
      </c>
      <c r="G22" s="16" t="s">
        <v>183</v>
      </c>
      <c r="H22" s="23" t="s">
        <v>101</v>
      </c>
    </row>
    <row r="23" spans="1:8" ht="51">
      <c r="A23" s="6" t="s">
        <v>184</v>
      </c>
      <c r="B23" t="s">
        <v>185</v>
      </c>
      <c r="C23" s="6" t="s">
        <v>186</v>
      </c>
      <c r="D23" s="6" t="s">
        <v>187</v>
      </c>
      <c r="E23" s="16" t="s">
        <v>149</v>
      </c>
      <c r="F23" t="s">
        <v>52</v>
      </c>
      <c r="G23" s="6" t="s">
        <v>188</v>
      </c>
      <c r="H23" s="6" t="s">
        <v>101</v>
      </c>
    </row>
    <row r="24" spans="1:8" ht="38.25">
      <c r="A24" s="6" t="s">
        <v>189</v>
      </c>
      <c r="B24" t="s">
        <v>185</v>
      </c>
      <c r="C24" s="6" t="s">
        <v>190</v>
      </c>
      <c r="D24" s="6" t="s">
        <v>191</v>
      </c>
      <c r="E24" s="16" t="s">
        <v>98</v>
      </c>
      <c r="F24" s="26" t="s">
        <v>52</v>
      </c>
      <c r="G24" s="6" t="s">
        <v>192</v>
      </c>
      <c r="H24" s="6" t="s">
        <v>101</v>
      </c>
    </row>
    <row r="25" spans="1:8" ht="38.25">
      <c r="A25" s="6" t="s">
        <v>193</v>
      </c>
      <c r="B25" t="s">
        <v>185</v>
      </c>
      <c r="C25" s="6" t="s">
        <v>70</v>
      </c>
      <c r="D25" s="6" t="s">
        <v>194</v>
      </c>
      <c r="E25" s="16" t="s">
        <v>98</v>
      </c>
      <c r="F25" s="26" t="s">
        <v>52</v>
      </c>
      <c r="G25" s="6" t="s">
        <v>188</v>
      </c>
      <c r="H25" s="6" t="s">
        <v>101</v>
      </c>
    </row>
    <row r="26" spans="1:8" ht="38.25">
      <c r="A26" s="6" t="s">
        <v>195</v>
      </c>
      <c r="B26" t="s">
        <v>185</v>
      </c>
      <c r="C26" s="6" t="s">
        <v>70</v>
      </c>
      <c r="D26" s="6" t="s">
        <v>196</v>
      </c>
      <c r="E26" s="16" t="s">
        <v>149</v>
      </c>
      <c r="F26" s="26" t="s">
        <v>52</v>
      </c>
      <c r="G26" s="6" t="s">
        <v>192</v>
      </c>
      <c r="H26" s="6" t="s">
        <v>101</v>
      </c>
    </row>
    <row r="27" spans="1:8" ht="53.25" customHeight="1">
      <c r="A27" s="16" t="s">
        <v>197</v>
      </c>
      <c r="B27" s="16" t="s">
        <v>198</v>
      </c>
      <c r="C27" s="16" t="s">
        <v>61</v>
      </c>
      <c r="D27" s="16" t="s">
        <v>199</v>
      </c>
      <c r="E27" s="16" t="s">
        <v>149</v>
      </c>
      <c r="F27" s="16" t="s">
        <v>62</v>
      </c>
      <c r="G27" s="16" t="s">
        <v>200</v>
      </c>
      <c r="H27" s="23" t="s">
        <v>101</v>
      </c>
    </row>
    <row r="28" spans="1:8" ht="38.25">
      <c r="A28" s="16" t="s">
        <v>201</v>
      </c>
      <c r="B28" s="16" t="s">
        <v>198</v>
      </c>
      <c r="C28" s="16" t="s">
        <v>202</v>
      </c>
      <c r="D28" s="16" t="s">
        <v>203</v>
      </c>
      <c r="E28" s="16" t="s">
        <v>98</v>
      </c>
      <c r="F28" s="16" t="s">
        <v>62</v>
      </c>
      <c r="G28" s="16" t="s">
        <v>204</v>
      </c>
      <c r="H28" s="23" t="s">
        <v>205</v>
      </c>
    </row>
    <row r="29" spans="1:8" ht="25.5">
      <c r="A29" s="16" t="s">
        <v>206</v>
      </c>
      <c r="B29" s="16" t="s">
        <v>198</v>
      </c>
      <c r="C29" s="16" t="s">
        <v>74</v>
      </c>
      <c r="D29" s="16" t="s">
        <v>207</v>
      </c>
      <c r="E29" s="16" t="s">
        <v>115</v>
      </c>
      <c r="F29" s="16" t="s">
        <v>62</v>
      </c>
      <c r="G29" s="16" t="s">
        <v>208</v>
      </c>
      <c r="H29" s="23" t="s">
        <v>101</v>
      </c>
    </row>
    <row r="30" spans="1:8" ht="38.25">
      <c r="A30" s="16" t="s">
        <v>209</v>
      </c>
      <c r="B30" s="16" t="s">
        <v>198</v>
      </c>
      <c r="C30" s="16" t="s">
        <v>210</v>
      </c>
      <c r="D30" s="16" t="s">
        <v>211</v>
      </c>
      <c r="E30" s="16" t="s">
        <v>115</v>
      </c>
      <c r="F30" s="16" t="s">
        <v>62</v>
      </c>
      <c r="G30" s="16" t="s">
        <v>208</v>
      </c>
      <c r="H30" s="23" t="s">
        <v>101</v>
      </c>
    </row>
    <row r="31" spans="1:8" ht="51">
      <c r="A31" s="16" t="s">
        <v>212</v>
      </c>
      <c r="B31" s="16" t="s">
        <v>198</v>
      </c>
      <c r="C31" s="16" t="s">
        <v>64</v>
      </c>
      <c r="D31" s="16" t="s">
        <v>213</v>
      </c>
      <c r="E31" s="16" t="s">
        <v>149</v>
      </c>
      <c r="F31" s="16" t="s">
        <v>62</v>
      </c>
      <c r="G31" s="16" t="s">
        <v>214</v>
      </c>
      <c r="H31" s="23" t="s">
        <v>101</v>
      </c>
    </row>
    <row r="32" spans="1:8" ht="30" customHeight="1">
      <c r="A32" s="16" t="s">
        <v>215</v>
      </c>
      <c r="B32" s="16" t="s">
        <v>198</v>
      </c>
      <c r="C32" s="16" t="s">
        <v>216</v>
      </c>
      <c r="D32" s="16" t="s">
        <v>217</v>
      </c>
      <c r="E32" s="16" t="s">
        <v>149</v>
      </c>
      <c r="F32" s="16" t="s">
        <v>62</v>
      </c>
      <c r="G32" s="16" t="s">
        <v>218</v>
      </c>
      <c r="H32" s="23" t="s">
        <v>101</v>
      </c>
    </row>
    <row r="33" spans="1:8" ht="51">
      <c r="A33" s="16" t="s">
        <v>219</v>
      </c>
      <c r="B33" s="16" t="s">
        <v>198</v>
      </c>
      <c r="C33" s="16" t="s">
        <v>63</v>
      </c>
      <c r="D33" s="16" t="s">
        <v>220</v>
      </c>
      <c r="E33" s="16" t="s">
        <v>106</v>
      </c>
      <c r="F33" s="16" t="s">
        <v>62</v>
      </c>
      <c r="G33" s="16" t="s">
        <v>221</v>
      </c>
      <c r="H33" s="23" t="s">
        <v>101</v>
      </c>
    </row>
    <row r="34" spans="1:8" ht="207" customHeight="1">
      <c r="A34" s="16" t="s">
        <v>222</v>
      </c>
      <c r="B34" s="16" t="s">
        <v>198</v>
      </c>
      <c r="C34" s="16" t="s">
        <v>223</v>
      </c>
      <c r="D34" s="16" t="s">
        <v>224</v>
      </c>
      <c r="E34" s="16" t="s">
        <v>149</v>
      </c>
      <c r="F34" s="16" t="s">
        <v>62</v>
      </c>
      <c r="G34" s="16" t="s">
        <v>225</v>
      </c>
      <c r="H34" s="16" t="s">
        <v>101</v>
      </c>
    </row>
    <row r="35" spans="1:8" ht="96" customHeight="1">
      <c r="A35" s="16" t="s">
        <v>226</v>
      </c>
      <c r="B35" s="16" t="s">
        <v>227</v>
      </c>
      <c r="C35" s="16" t="s">
        <v>228</v>
      </c>
      <c r="D35" s="16" t="s">
        <v>229</v>
      </c>
      <c r="E35" s="16" t="s">
        <v>98</v>
      </c>
      <c r="F35" s="16" t="s">
        <v>62</v>
      </c>
      <c r="G35" s="16" t="s">
        <v>230</v>
      </c>
      <c r="H35" s="23" t="s">
        <v>205</v>
      </c>
    </row>
    <row r="36" spans="1:8" ht="63.75">
      <c r="A36" s="16" t="s">
        <v>231</v>
      </c>
      <c r="B36" s="16" t="s">
        <v>198</v>
      </c>
      <c r="C36" s="16" t="s">
        <v>61</v>
      </c>
      <c r="D36" s="16" t="s">
        <v>232</v>
      </c>
      <c r="E36" s="16" t="s">
        <v>149</v>
      </c>
      <c r="F36" s="16" t="s">
        <v>62</v>
      </c>
      <c r="G36" s="16" t="s">
        <v>233</v>
      </c>
      <c r="H36" s="23" t="s">
        <v>101</v>
      </c>
    </row>
    <row r="37" spans="1:8">
      <c r="A37" s="24"/>
      <c r="B37" s="24"/>
      <c r="C37" s="24"/>
      <c r="D37" s="24"/>
      <c r="E37" s="24"/>
      <c r="F37" s="24"/>
      <c r="G37" s="24"/>
      <c r="H37" s="25"/>
    </row>
    <row r="38" spans="1:8">
      <c r="A38" s="24"/>
      <c r="B38" s="24"/>
      <c r="C38" s="24"/>
      <c r="D38" s="24"/>
      <c r="E38" s="24"/>
      <c r="F38" s="24"/>
      <c r="G38" s="24"/>
      <c r="H38" s="25"/>
    </row>
    <row r="40" spans="1:8" ht="63.75">
      <c r="A40" s="6" t="s">
        <v>234</v>
      </c>
      <c r="B40" s="6" t="s">
        <v>69</v>
      </c>
      <c r="C40" s="6" t="s">
        <v>235</v>
      </c>
      <c r="D40" s="6" t="s">
        <v>236</v>
      </c>
      <c r="E40" s="6" t="s">
        <v>98</v>
      </c>
      <c r="F40" s="6" t="s">
        <v>48</v>
      </c>
      <c r="G40" s="6" t="s">
        <v>237</v>
      </c>
      <c r="H40" s="6" t="s">
        <v>101</v>
      </c>
    </row>
    <row r="41" spans="1:8" ht="51">
      <c r="A41" s="6" t="s">
        <v>238</v>
      </c>
      <c r="B41" s="6" t="s">
        <v>69</v>
      </c>
      <c r="C41" s="6" t="s">
        <v>239</v>
      </c>
      <c r="D41" s="6" t="s">
        <v>49</v>
      </c>
      <c r="E41" s="6" t="s">
        <v>98</v>
      </c>
      <c r="F41" s="6" t="s">
        <v>48</v>
      </c>
      <c r="G41" s="6" t="s">
        <v>240</v>
      </c>
      <c r="H41" s="6" t="s">
        <v>101</v>
      </c>
    </row>
    <row r="42" spans="1:8" ht="63.75">
      <c r="A42" s="6" t="s">
        <v>241</v>
      </c>
      <c r="B42" s="6" t="s">
        <v>69</v>
      </c>
      <c r="C42" s="6" t="s">
        <v>242</v>
      </c>
      <c r="D42" s="6" t="s">
        <v>243</v>
      </c>
      <c r="E42" s="6" t="s">
        <v>98</v>
      </c>
      <c r="F42" s="6" t="s">
        <v>48</v>
      </c>
      <c r="G42" s="6" t="s">
        <v>244</v>
      </c>
      <c r="H42" s="6" t="s">
        <v>101</v>
      </c>
    </row>
    <row r="43" spans="1:8" ht="38.25">
      <c r="A43" s="6" t="s">
        <v>245</v>
      </c>
      <c r="B43" s="6" t="s">
        <v>69</v>
      </c>
      <c r="C43" s="6" t="s">
        <v>246</v>
      </c>
      <c r="D43" s="6" t="s">
        <v>247</v>
      </c>
      <c r="E43" s="6" t="s">
        <v>98</v>
      </c>
      <c r="F43" s="6" t="s">
        <v>48</v>
      </c>
      <c r="G43" s="6" t="s">
        <v>248</v>
      </c>
      <c r="H43" s="6" t="s">
        <v>101</v>
      </c>
    </row>
    <row r="44" spans="1:8" ht="63.75">
      <c r="A44" s="6" t="s">
        <v>249</v>
      </c>
      <c r="B44" s="6" t="s">
        <v>69</v>
      </c>
      <c r="C44" s="6" t="s">
        <v>250</v>
      </c>
      <c r="D44" s="6" t="s">
        <v>50</v>
      </c>
      <c r="E44" s="6" t="s">
        <v>98</v>
      </c>
      <c r="F44" s="6" t="s">
        <v>48</v>
      </c>
      <c r="G44" s="6" t="s">
        <v>251</v>
      </c>
      <c r="H44" s="6" t="s">
        <v>101</v>
      </c>
    </row>
    <row r="45" spans="1:8" ht="51">
      <c r="A45" s="6" t="s">
        <v>252</v>
      </c>
      <c r="B45" s="6" t="s">
        <v>69</v>
      </c>
      <c r="C45" s="6" t="s">
        <v>253</v>
      </c>
      <c r="D45" s="6" t="s">
        <v>254</v>
      </c>
      <c r="E45" s="6" t="s">
        <v>98</v>
      </c>
      <c r="F45" s="6" t="s">
        <v>48</v>
      </c>
      <c r="G45" s="6" t="s">
        <v>255</v>
      </c>
      <c r="H45" s="6" t="s">
        <v>101</v>
      </c>
    </row>
    <row r="46" spans="1:8" ht="38.25">
      <c r="A46" s="6" t="s">
        <v>256</v>
      </c>
      <c r="B46" s="6" t="s">
        <v>257</v>
      </c>
      <c r="C46" s="6" t="s">
        <v>258</v>
      </c>
      <c r="D46" s="6" t="s">
        <v>259</v>
      </c>
      <c r="E46" s="6" t="s">
        <v>106</v>
      </c>
      <c r="F46" s="6" t="s">
        <v>58</v>
      </c>
      <c r="G46" s="6" t="s">
        <v>260</v>
      </c>
      <c r="H46" s="6" t="s">
        <v>101</v>
      </c>
    </row>
    <row r="47" spans="1:8" ht="38.25">
      <c r="A47" s="6" t="s">
        <v>261</v>
      </c>
      <c r="B47" s="6" t="s">
        <v>257</v>
      </c>
      <c r="C47" s="6" t="s">
        <v>59</v>
      </c>
      <c r="D47" s="6" t="s">
        <v>262</v>
      </c>
      <c r="E47" s="6" t="s">
        <v>149</v>
      </c>
      <c r="F47" s="6" t="s">
        <v>58</v>
      </c>
      <c r="G47" s="6" t="s">
        <v>263</v>
      </c>
      <c r="H47" s="6" t="s">
        <v>101</v>
      </c>
    </row>
    <row r="48" spans="1:8" ht="25.5">
      <c r="A48" s="6" t="s">
        <v>264</v>
      </c>
      <c r="B48" s="6" t="s">
        <v>257</v>
      </c>
      <c r="C48" s="6" t="s">
        <v>60</v>
      </c>
      <c r="D48" s="6" t="s">
        <v>265</v>
      </c>
      <c r="E48" s="6" t="s">
        <v>115</v>
      </c>
      <c r="F48" s="6" t="s">
        <v>58</v>
      </c>
      <c r="G48" s="6" t="s">
        <v>266</v>
      </c>
      <c r="H48" s="6" t="s">
        <v>101</v>
      </c>
    </row>
  </sheetData>
  <dataValidations count="2">
    <dataValidation type="list" sqref="H2:H38 H40:H48" xr:uid="{0B9198B8-635F-40A2-AC98-71DCA98C045F}">
      <formula1>"Open,Closed"</formula1>
      <formula2>0</formula2>
    </dataValidation>
    <dataValidation type="list" sqref="E2:E26 H23:H26 E40:E48" xr:uid="{57039030-ED63-41EF-B686-579D16E58831}">
      <formula1>"Open point,Assumption,Ambiguity,Gap"</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A12D-B63C-4787-801B-679B265FED84}">
  <dimension ref="A1:O27"/>
  <sheetViews>
    <sheetView workbookViewId="0">
      <pane ySplit="2" topLeftCell="A3" activePane="bottomLeft" state="frozen"/>
      <selection pane="bottomLeft" activeCell="F11" sqref="F11"/>
    </sheetView>
  </sheetViews>
  <sheetFormatPr defaultRowHeight="14.25"/>
  <cols>
    <col min="1" max="1" width="30.125" customWidth="1"/>
    <col min="2" max="2" width="13.125" customWidth="1"/>
    <col min="3" max="3" width="14.625" customWidth="1"/>
    <col min="4" max="4" width="14" customWidth="1"/>
    <col min="5" max="5" width="14.25" customWidth="1"/>
    <col min="6" max="6" width="13.625" customWidth="1"/>
    <col min="7" max="7" width="13.5" customWidth="1"/>
    <col min="8" max="8" width="17.5" customWidth="1"/>
    <col min="9" max="9" width="14.375" customWidth="1"/>
    <col min="10" max="10" width="10.75" customWidth="1"/>
    <col min="11" max="11" width="14.25" customWidth="1"/>
    <col min="12" max="12" width="10.375" customWidth="1"/>
    <col min="13" max="13" width="21.875" customWidth="1"/>
    <col min="14" max="14" width="13.25" customWidth="1"/>
    <col min="15" max="15" width="16" customWidth="1"/>
  </cols>
  <sheetData>
    <row r="1" spans="1:15" ht="15.75">
      <c r="A1" s="7" t="s">
        <v>267</v>
      </c>
      <c r="B1" s="8"/>
      <c r="C1" s="8"/>
      <c r="D1" s="8"/>
      <c r="E1" s="8"/>
      <c r="F1" s="8"/>
      <c r="G1" s="8"/>
      <c r="H1" s="8"/>
      <c r="I1" s="8"/>
      <c r="J1" s="8"/>
      <c r="K1" s="8"/>
      <c r="L1" s="8"/>
      <c r="M1" s="8"/>
      <c r="N1" s="8"/>
      <c r="O1" s="8"/>
    </row>
    <row r="2" spans="1:15" ht="45" customHeight="1">
      <c r="A2" s="9" t="s">
        <v>268</v>
      </c>
      <c r="B2" s="9" t="s">
        <v>269</v>
      </c>
      <c r="C2" s="9" t="s">
        <v>270</v>
      </c>
      <c r="D2" s="9" t="s">
        <v>271</v>
      </c>
      <c r="E2" s="9" t="s">
        <v>272</v>
      </c>
      <c r="F2" s="9" t="s">
        <v>273</v>
      </c>
      <c r="G2" s="9" t="s">
        <v>274</v>
      </c>
      <c r="H2" s="9" t="s">
        <v>275</v>
      </c>
      <c r="I2" s="9" t="s">
        <v>276</v>
      </c>
      <c r="J2" s="9" t="s">
        <v>277</v>
      </c>
      <c r="K2" s="9" t="s">
        <v>278</v>
      </c>
      <c r="L2" s="9" t="s">
        <v>279</v>
      </c>
      <c r="M2" s="9" t="s">
        <v>280</v>
      </c>
      <c r="N2" s="9" t="s">
        <v>281</v>
      </c>
      <c r="O2" s="9" t="s">
        <v>94</v>
      </c>
    </row>
    <row r="3" spans="1:15" ht="24">
      <c r="A3" s="10" t="s">
        <v>282</v>
      </c>
      <c r="B3" s="10" t="s">
        <v>283</v>
      </c>
      <c r="C3" s="17"/>
      <c r="D3" s="17"/>
      <c r="E3" s="17"/>
      <c r="F3" s="17"/>
      <c r="G3" s="17"/>
      <c r="H3" s="18" t="s">
        <v>284</v>
      </c>
      <c r="I3" s="17"/>
      <c r="J3" s="17"/>
      <c r="K3" s="17"/>
      <c r="L3" s="10" t="s">
        <v>285</v>
      </c>
      <c r="M3" s="10"/>
      <c r="N3" s="10" t="s">
        <v>286</v>
      </c>
      <c r="O3" s="10" t="s">
        <v>287</v>
      </c>
    </row>
    <row r="4" spans="1:15" ht="25.5" customHeight="1">
      <c r="A4" s="10" t="s">
        <v>288</v>
      </c>
      <c r="B4" s="10" t="s">
        <v>289</v>
      </c>
      <c r="C4" s="18" t="s">
        <v>290</v>
      </c>
      <c r="D4" s="17"/>
      <c r="E4" s="17"/>
      <c r="F4" s="17"/>
      <c r="G4" s="17"/>
      <c r="H4" s="17"/>
      <c r="I4" s="17"/>
      <c r="J4" s="17"/>
      <c r="K4" s="17"/>
      <c r="L4" s="10" t="s">
        <v>285</v>
      </c>
      <c r="M4" s="10" t="s">
        <v>291</v>
      </c>
      <c r="N4" s="10" t="s">
        <v>54</v>
      </c>
      <c r="O4" s="10" t="s">
        <v>292</v>
      </c>
    </row>
    <row r="5" spans="1:15" ht="24">
      <c r="A5" s="10" t="s">
        <v>293</v>
      </c>
      <c r="B5" s="10" t="s">
        <v>294</v>
      </c>
      <c r="C5" s="17"/>
      <c r="D5" s="17"/>
      <c r="E5" s="17"/>
      <c r="F5" s="17"/>
      <c r="G5" s="17"/>
      <c r="H5" s="18" t="s">
        <v>295</v>
      </c>
      <c r="I5" s="17"/>
      <c r="J5" s="17"/>
      <c r="K5" s="17"/>
      <c r="L5" s="10" t="s">
        <v>285</v>
      </c>
      <c r="M5" s="10"/>
      <c r="N5" s="10" t="s">
        <v>296</v>
      </c>
      <c r="O5" s="10" t="s">
        <v>287</v>
      </c>
    </row>
    <row r="6" spans="1:15" ht="25.5">
      <c r="A6" s="10" t="s">
        <v>297</v>
      </c>
      <c r="B6" s="10" t="s">
        <v>298</v>
      </c>
      <c r="C6" s="17"/>
      <c r="D6" s="17"/>
      <c r="E6" s="17"/>
      <c r="F6" s="18" t="s">
        <v>56</v>
      </c>
      <c r="G6" s="18" t="s">
        <v>55</v>
      </c>
      <c r="H6" s="17"/>
      <c r="I6" s="19" t="s">
        <v>57</v>
      </c>
      <c r="J6" s="17"/>
      <c r="K6" s="17"/>
      <c r="L6" s="10" t="s">
        <v>299</v>
      </c>
      <c r="M6" s="10" t="s">
        <v>300</v>
      </c>
      <c r="N6" s="10" t="s">
        <v>301</v>
      </c>
      <c r="O6" s="10" t="s">
        <v>302</v>
      </c>
    </row>
    <row r="7" spans="1:15" ht="25.5">
      <c r="A7" s="10" t="s">
        <v>303</v>
      </c>
      <c r="B7" s="10" t="s">
        <v>304</v>
      </c>
      <c r="C7" s="17"/>
      <c r="D7" s="17"/>
      <c r="E7" s="17"/>
      <c r="F7" s="18" t="s">
        <v>65</v>
      </c>
      <c r="G7" s="18" t="s">
        <v>85</v>
      </c>
      <c r="H7" s="18" t="s">
        <v>305</v>
      </c>
      <c r="I7" s="17"/>
      <c r="J7" s="17"/>
      <c r="K7" s="17"/>
      <c r="L7" s="10" t="s">
        <v>299</v>
      </c>
      <c r="M7" s="10"/>
      <c r="N7" s="10" t="s">
        <v>306</v>
      </c>
      <c r="O7" s="10" t="s">
        <v>307</v>
      </c>
    </row>
    <row r="8" spans="1:15" ht="25.5">
      <c r="A8" s="10" t="s">
        <v>308</v>
      </c>
      <c r="B8" s="10" t="s">
        <v>309</v>
      </c>
      <c r="C8" s="17"/>
      <c r="D8" s="17"/>
      <c r="E8" s="17"/>
      <c r="F8" s="18" t="s">
        <v>310</v>
      </c>
      <c r="G8" s="18" t="s">
        <v>311</v>
      </c>
      <c r="H8" s="17"/>
      <c r="I8" s="17"/>
      <c r="J8" s="17"/>
      <c r="K8" s="17"/>
      <c r="L8" s="10" t="s">
        <v>285</v>
      </c>
      <c r="M8" s="10"/>
      <c r="N8" s="10" t="s">
        <v>54</v>
      </c>
      <c r="O8" s="10" t="s">
        <v>292</v>
      </c>
    </row>
    <row r="9" spans="1:15" ht="25.5">
      <c r="A9" s="10" t="s">
        <v>312</v>
      </c>
      <c r="B9" s="10" t="s">
        <v>313</v>
      </c>
      <c r="C9" s="17"/>
      <c r="D9" s="17"/>
      <c r="E9" s="17"/>
      <c r="F9" s="18" t="s">
        <v>314</v>
      </c>
      <c r="G9" s="18" t="s">
        <v>315</v>
      </c>
      <c r="H9" s="17"/>
      <c r="I9" s="17"/>
      <c r="J9" s="17"/>
      <c r="K9" s="17"/>
      <c r="L9" s="10" t="s">
        <v>285</v>
      </c>
      <c r="M9" s="10"/>
      <c r="N9" s="10" t="s">
        <v>54</v>
      </c>
      <c r="O9" s="10" t="s">
        <v>292</v>
      </c>
    </row>
    <row r="10" spans="1:15" ht="25.5">
      <c r="A10" s="10" t="s">
        <v>316</v>
      </c>
      <c r="B10" s="10" t="s">
        <v>317</v>
      </c>
      <c r="C10" s="17"/>
      <c r="D10" s="17"/>
      <c r="E10" s="17"/>
      <c r="F10" s="18" t="s">
        <v>79</v>
      </c>
      <c r="G10" s="18" t="s">
        <v>78</v>
      </c>
      <c r="H10" s="17"/>
      <c r="I10" s="17"/>
      <c r="J10" s="17"/>
      <c r="K10" s="17"/>
      <c r="L10" s="10" t="s">
        <v>318</v>
      </c>
      <c r="M10" s="10"/>
      <c r="N10" s="10" t="s">
        <v>54</v>
      </c>
      <c r="O10" s="10" t="s">
        <v>292</v>
      </c>
    </row>
    <row r="11" spans="1:15" ht="25.5">
      <c r="A11" s="10" t="s">
        <v>319</v>
      </c>
      <c r="B11" s="10" t="s">
        <v>320</v>
      </c>
      <c r="C11" s="18" t="s">
        <v>73</v>
      </c>
      <c r="D11" s="17"/>
      <c r="E11" s="17"/>
      <c r="F11" s="18" t="s">
        <v>72</v>
      </c>
      <c r="G11" s="18" t="s">
        <v>71</v>
      </c>
      <c r="H11" s="17"/>
      <c r="I11" s="17"/>
      <c r="J11" s="17"/>
      <c r="K11" s="17"/>
      <c r="L11" s="10" t="s">
        <v>299</v>
      </c>
      <c r="M11" s="10"/>
      <c r="N11" s="10" t="s">
        <v>54</v>
      </c>
      <c r="O11" s="10" t="s">
        <v>292</v>
      </c>
    </row>
    <row r="12" spans="1:15" ht="25.5">
      <c r="A12" s="10" t="s">
        <v>321</v>
      </c>
      <c r="B12" s="10" t="s">
        <v>322</v>
      </c>
      <c r="C12" s="18" t="s">
        <v>323</v>
      </c>
      <c r="D12" s="17"/>
      <c r="E12" s="17"/>
      <c r="F12" s="18" t="s">
        <v>324</v>
      </c>
      <c r="G12" s="18" t="s">
        <v>325</v>
      </c>
      <c r="H12" s="17"/>
      <c r="I12" s="17"/>
      <c r="J12" s="17"/>
      <c r="K12" s="17"/>
      <c r="L12" s="10" t="s">
        <v>299</v>
      </c>
      <c r="M12" s="10"/>
      <c r="N12" s="10" t="s">
        <v>54</v>
      </c>
      <c r="O12" s="10" t="s">
        <v>292</v>
      </c>
    </row>
    <row r="13" spans="1:15" ht="25.5">
      <c r="A13" s="10" t="s">
        <v>326</v>
      </c>
      <c r="B13" s="10" t="s">
        <v>327</v>
      </c>
      <c r="C13" s="18" t="s">
        <v>328</v>
      </c>
      <c r="D13" s="17"/>
      <c r="E13" s="17"/>
      <c r="F13" s="18" t="s">
        <v>329</v>
      </c>
      <c r="G13" s="18" t="s">
        <v>330</v>
      </c>
      <c r="H13" s="17"/>
      <c r="I13" s="17"/>
      <c r="J13" s="17"/>
      <c r="K13" s="17"/>
      <c r="L13" s="10" t="s">
        <v>299</v>
      </c>
      <c r="M13" s="10"/>
      <c r="N13" s="10" t="s">
        <v>54</v>
      </c>
      <c r="O13" s="10" t="s">
        <v>292</v>
      </c>
    </row>
    <row r="14" spans="1:15" ht="25.5">
      <c r="A14" s="10" t="s">
        <v>331</v>
      </c>
      <c r="B14" s="10" t="s">
        <v>332</v>
      </c>
      <c r="C14" s="18" t="s">
        <v>76</v>
      </c>
      <c r="D14" s="17"/>
      <c r="E14" s="17"/>
      <c r="F14" s="18" t="s">
        <v>75</v>
      </c>
      <c r="G14" s="18" t="s">
        <v>333</v>
      </c>
      <c r="H14" s="17"/>
      <c r="I14" s="17"/>
      <c r="J14" s="17"/>
      <c r="K14" s="17"/>
      <c r="L14" s="10" t="s">
        <v>299</v>
      </c>
      <c r="M14" s="10"/>
      <c r="N14" s="10" t="s">
        <v>54</v>
      </c>
      <c r="O14" s="10" t="s">
        <v>292</v>
      </c>
    </row>
    <row r="15" spans="1:15" ht="25.5">
      <c r="A15" s="20" t="s">
        <v>334</v>
      </c>
      <c r="B15" s="10" t="s">
        <v>335</v>
      </c>
      <c r="C15" s="21" t="s">
        <v>336</v>
      </c>
      <c r="D15" s="17"/>
      <c r="E15" s="17"/>
      <c r="F15" s="21" t="s">
        <v>337</v>
      </c>
      <c r="G15" s="21" t="s">
        <v>338</v>
      </c>
      <c r="H15" s="17"/>
      <c r="I15" s="17"/>
      <c r="J15" s="17"/>
      <c r="K15" s="17"/>
      <c r="L15" s="10" t="s">
        <v>318</v>
      </c>
      <c r="M15" s="10" t="s">
        <v>339</v>
      </c>
      <c r="N15" s="10" t="s">
        <v>54</v>
      </c>
      <c r="O15" s="10" t="s">
        <v>292</v>
      </c>
    </row>
    <row r="16" spans="1:15" ht="25.5">
      <c r="A16" s="20" t="s">
        <v>340</v>
      </c>
      <c r="B16" s="10" t="s">
        <v>341</v>
      </c>
      <c r="C16" s="17"/>
      <c r="D16" s="21" t="s">
        <v>342</v>
      </c>
      <c r="E16" s="17"/>
      <c r="F16" s="17"/>
      <c r="G16" s="21" t="s">
        <v>343</v>
      </c>
      <c r="H16" s="17"/>
      <c r="I16" s="17"/>
      <c r="J16" s="17"/>
      <c r="K16" s="17"/>
      <c r="L16" s="10" t="s">
        <v>285</v>
      </c>
      <c r="M16" s="10" t="s">
        <v>339</v>
      </c>
      <c r="N16" s="10" t="s">
        <v>54</v>
      </c>
      <c r="O16" s="10" t="s">
        <v>292</v>
      </c>
    </row>
    <row r="17" spans="1:15" ht="25.5">
      <c r="A17" s="20" t="s">
        <v>344</v>
      </c>
      <c r="B17" s="10" t="s">
        <v>345</v>
      </c>
      <c r="C17" s="21" t="s">
        <v>346</v>
      </c>
      <c r="D17" s="21" t="s">
        <v>347</v>
      </c>
      <c r="E17" s="17"/>
      <c r="F17" s="17"/>
      <c r="G17" s="21" t="s">
        <v>348</v>
      </c>
      <c r="H17" s="17"/>
      <c r="I17" s="17"/>
      <c r="J17" s="17"/>
      <c r="K17" s="19" t="s">
        <v>349</v>
      </c>
      <c r="L17" s="10" t="s">
        <v>299</v>
      </c>
      <c r="M17" s="10" t="s">
        <v>339</v>
      </c>
      <c r="N17" s="10" t="s">
        <v>54</v>
      </c>
      <c r="O17" s="10" t="s">
        <v>292</v>
      </c>
    </row>
    <row r="18" spans="1:15" ht="25.5">
      <c r="A18" s="20" t="s">
        <v>350</v>
      </c>
      <c r="B18" s="10" t="s">
        <v>351</v>
      </c>
      <c r="C18" s="21" t="s">
        <v>352</v>
      </c>
      <c r="D18" s="21" t="s">
        <v>353</v>
      </c>
      <c r="E18" s="17"/>
      <c r="F18" s="17"/>
      <c r="G18" s="21" t="s">
        <v>354</v>
      </c>
      <c r="H18" s="17"/>
      <c r="I18" s="17"/>
      <c r="J18" s="17"/>
      <c r="K18" s="17"/>
      <c r="L18" s="10" t="s">
        <v>299</v>
      </c>
      <c r="M18" s="10" t="s">
        <v>339</v>
      </c>
      <c r="N18" s="10" t="s">
        <v>54</v>
      </c>
      <c r="O18" s="10" t="s">
        <v>292</v>
      </c>
    </row>
    <row r="19" spans="1:15" ht="25.5">
      <c r="A19" s="10" t="s">
        <v>355</v>
      </c>
      <c r="B19" s="10" t="s">
        <v>356</v>
      </c>
      <c r="C19" s="18" t="s">
        <v>357</v>
      </c>
      <c r="D19" s="18" t="s">
        <v>66</v>
      </c>
      <c r="E19" s="18" t="s">
        <v>67</v>
      </c>
      <c r="F19" s="17"/>
      <c r="G19" s="18" t="s">
        <v>86</v>
      </c>
      <c r="H19" s="17"/>
      <c r="I19" s="17"/>
      <c r="J19" s="17"/>
      <c r="K19" s="17"/>
      <c r="L19" s="10" t="s">
        <v>299</v>
      </c>
      <c r="M19" s="10"/>
      <c r="N19" s="10" t="s">
        <v>358</v>
      </c>
      <c r="O19" s="10" t="s">
        <v>307</v>
      </c>
    </row>
    <row r="20" spans="1:15" ht="25.5">
      <c r="A20" s="11" t="s">
        <v>359</v>
      </c>
      <c r="B20" s="11" t="s">
        <v>360</v>
      </c>
      <c r="C20" s="11"/>
      <c r="D20" s="11"/>
      <c r="E20" s="11"/>
      <c r="F20" s="11"/>
      <c r="G20" s="11"/>
      <c r="H20" s="11"/>
      <c r="I20" s="11"/>
      <c r="J20" s="11"/>
      <c r="K20" s="11"/>
      <c r="L20" s="11"/>
      <c r="M20" s="11"/>
      <c r="N20" s="12" t="s">
        <v>54</v>
      </c>
      <c r="O20" s="11" t="s">
        <v>361</v>
      </c>
    </row>
    <row r="21" spans="1:15" ht="25.5">
      <c r="A21" s="11" t="s">
        <v>362</v>
      </c>
      <c r="B21" s="11" t="s">
        <v>363</v>
      </c>
      <c r="C21" s="11"/>
      <c r="D21" s="11"/>
      <c r="E21" s="11"/>
      <c r="F21" s="11"/>
      <c r="G21" s="11"/>
      <c r="H21" s="11"/>
      <c r="I21" s="11"/>
      <c r="J21" s="11"/>
      <c r="K21" s="11"/>
      <c r="L21" s="11"/>
      <c r="M21" s="11"/>
      <c r="N21" s="12" t="s">
        <v>54</v>
      </c>
      <c r="O21" s="11" t="s">
        <v>361</v>
      </c>
    </row>
    <row r="22" spans="1:15" ht="25.5">
      <c r="A22" s="11" t="s">
        <v>364</v>
      </c>
      <c r="B22" s="11" t="s">
        <v>365</v>
      </c>
      <c r="C22" s="11"/>
      <c r="D22" s="11"/>
      <c r="E22" s="11"/>
      <c r="F22" s="11"/>
      <c r="G22" s="11"/>
      <c r="H22" s="11"/>
      <c r="I22" s="11"/>
      <c r="J22" s="11"/>
      <c r="K22" s="11"/>
      <c r="L22" s="11"/>
      <c r="M22" s="11"/>
      <c r="N22" s="12" t="s">
        <v>54</v>
      </c>
      <c r="O22" s="11" t="s">
        <v>361</v>
      </c>
    </row>
    <row r="23" spans="1:15" ht="25.5">
      <c r="A23" s="11" t="s">
        <v>366</v>
      </c>
      <c r="B23" s="11" t="s">
        <v>367</v>
      </c>
      <c r="C23" s="11"/>
      <c r="D23" s="11"/>
      <c r="E23" s="11"/>
      <c r="F23" s="11"/>
      <c r="G23" s="11"/>
      <c r="H23" s="11"/>
      <c r="I23" s="11"/>
      <c r="J23" s="11"/>
      <c r="K23" s="11"/>
      <c r="L23" s="11"/>
      <c r="M23" s="11"/>
      <c r="N23" s="12" t="s">
        <v>54</v>
      </c>
      <c r="O23" s="11" t="s">
        <v>361</v>
      </c>
    </row>
    <row r="24" spans="1:15" ht="25.5">
      <c r="A24" s="11" t="s">
        <v>368</v>
      </c>
      <c r="B24" s="11" t="s">
        <v>369</v>
      </c>
      <c r="C24" s="11"/>
      <c r="D24" s="11"/>
      <c r="E24" s="11"/>
      <c r="F24" s="11"/>
      <c r="G24" s="11"/>
      <c r="H24" s="11"/>
      <c r="I24" s="11"/>
      <c r="J24" s="11"/>
      <c r="K24" s="11"/>
      <c r="L24" s="11"/>
      <c r="M24" s="11"/>
      <c r="N24" s="12" t="s">
        <v>54</v>
      </c>
      <c r="O24" s="11" t="s">
        <v>361</v>
      </c>
    </row>
    <row r="25" spans="1:15">
      <c r="A25" s="13" t="s">
        <v>370</v>
      </c>
      <c r="B25" s="14"/>
      <c r="C25" s="13">
        <f t="shared" ref="C25:K25" si="0">COUNTA(C3:C24)</f>
        <v>9</v>
      </c>
      <c r="D25" s="13">
        <f t="shared" si="0"/>
        <v>4</v>
      </c>
      <c r="E25" s="13">
        <f t="shared" si="0"/>
        <v>1</v>
      </c>
      <c r="F25" s="13">
        <f t="shared" si="0"/>
        <v>10</v>
      </c>
      <c r="G25" s="13">
        <f t="shared" si="0"/>
        <v>14</v>
      </c>
      <c r="H25" s="13">
        <f t="shared" si="0"/>
        <v>3</v>
      </c>
      <c r="I25" s="13">
        <f t="shared" si="0"/>
        <v>1</v>
      </c>
      <c r="J25" s="13">
        <f t="shared" si="0"/>
        <v>0</v>
      </c>
      <c r="K25" s="13">
        <f t="shared" si="0"/>
        <v>1</v>
      </c>
      <c r="L25" s="14"/>
      <c r="M25" s="14"/>
      <c r="N25" s="14"/>
      <c r="O25" s="14"/>
    </row>
    <row r="26" spans="1:15">
      <c r="A26" s="15" t="s">
        <v>371</v>
      </c>
      <c r="B26" s="8"/>
      <c r="C26" s="8"/>
      <c r="D26" s="8"/>
      <c r="E26" s="8"/>
      <c r="F26" s="8"/>
      <c r="G26" s="8"/>
      <c r="H26" s="8"/>
      <c r="I26" s="8"/>
      <c r="J26" s="8"/>
      <c r="K26" s="8"/>
      <c r="L26" s="8"/>
      <c r="M26" s="8"/>
      <c r="N26" s="8"/>
      <c r="O26" s="8"/>
    </row>
    <row r="27" spans="1:15">
      <c r="A27" s="22" t="s">
        <v>372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5"/>
  <sheetViews>
    <sheetView zoomScale="85" zoomScaleNormal="85" zoomScaleSheetLayoutView="100" workbookViewId="0">
      <selection activeCell="F10" sqref="F10"/>
    </sheetView>
  </sheetViews>
  <sheetFormatPr defaultRowHeight="14.25"/>
  <cols>
    <col min="1" max="1" width="14" customWidth="1"/>
    <col min="2" max="3" width="42" customWidth="1"/>
    <col min="4" max="4" width="18.875" customWidth="1"/>
    <col min="5" max="5" width="9.375" customWidth="1"/>
    <col min="6" max="6" width="53.125" customWidth="1"/>
    <col min="7" max="7" width="56.125" customWidth="1"/>
    <col min="8" max="8" width="16" customWidth="1"/>
    <col min="9" max="9" width="18" customWidth="1"/>
    <col min="10" max="10" width="12" customWidth="1"/>
    <col min="11" max="12" width="42" customWidth="1"/>
    <col min="13" max="13" width="14" customWidth="1"/>
  </cols>
  <sheetData>
    <row r="1" spans="1:13" ht="30" customHeight="1">
      <c r="A1" s="29" t="s">
        <v>373</v>
      </c>
      <c r="B1" s="29"/>
      <c r="C1" s="29"/>
      <c r="D1" s="29"/>
      <c r="E1" s="29"/>
      <c r="F1" s="29"/>
      <c r="G1" s="29"/>
      <c r="H1" s="29"/>
      <c r="I1" s="29"/>
      <c r="J1" s="29"/>
      <c r="K1" s="29"/>
      <c r="L1" s="29"/>
      <c r="M1" s="29"/>
    </row>
    <row r="3" spans="1:13" ht="15">
      <c r="A3" s="1" t="s">
        <v>374</v>
      </c>
      <c r="B3" s="1" t="s">
        <v>375</v>
      </c>
      <c r="C3" s="1" t="s">
        <v>376</v>
      </c>
      <c r="D3" s="1" t="s">
        <v>377</v>
      </c>
    </row>
    <row r="4" spans="1:13">
      <c r="A4" s="3" t="s">
        <v>378</v>
      </c>
      <c r="B4" s="3" t="s">
        <v>379</v>
      </c>
      <c r="C4" s="3" t="s">
        <v>380</v>
      </c>
      <c r="D4" s="3" t="s">
        <v>381</v>
      </c>
    </row>
    <row r="5" spans="1:13" ht="28.5">
      <c r="A5" s="3" t="s">
        <v>382</v>
      </c>
      <c r="B5" s="3" t="s">
        <v>383</v>
      </c>
      <c r="C5" s="3" t="s">
        <v>384</v>
      </c>
      <c r="D5" s="3" t="s">
        <v>385</v>
      </c>
    </row>
    <row r="6" spans="1:13">
      <c r="A6" s="3" t="s">
        <v>386</v>
      </c>
      <c r="B6" s="3" t="s">
        <v>387</v>
      </c>
      <c r="C6" s="3" t="s">
        <v>388</v>
      </c>
      <c r="D6" s="3" t="s">
        <v>389</v>
      </c>
    </row>
    <row r="7" spans="1:13" ht="28.5">
      <c r="A7" s="3" t="s">
        <v>390</v>
      </c>
      <c r="B7" s="3" t="s">
        <v>391</v>
      </c>
      <c r="C7" s="3" t="s">
        <v>392</v>
      </c>
      <c r="D7" s="3" t="s">
        <v>389</v>
      </c>
    </row>
    <row r="8" spans="1:13" ht="28.5">
      <c r="A8" s="3" t="s">
        <v>393</v>
      </c>
      <c r="B8" s="3" t="s">
        <v>394</v>
      </c>
      <c r="C8" s="3" t="s">
        <v>395</v>
      </c>
      <c r="D8" s="3" t="s">
        <v>396</v>
      </c>
    </row>
    <row r="9" spans="1:13" ht="28.5">
      <c r="A9" s="3" t="s">
        <v>397</v>
      </c>
      <c r="B9" s="3" t="s">
        <v>398</v>
      </c>
      <c r="C9" s="3" t="s">
        <v>399</v>
      </c>
      <c r="D9" s="3" t="s">
        <v>400</v>
      </c>
    </row>
    <row r="10" spans="1:13" ht="28.5">
      <c r="A10" s="3" t="s">
        <v>401</v>
      </c>
      <c r="B10" s="3" t="s">
        <v>402</v>
      </c>
      <c r="C10" s="3" t="s">
        <v>403</v>
      </c>
      <c r="D10" s="3" t="s">
        <v>404</v>
      </c>
    </row>
    <row r="11" spans="1:13" ht="28.5">
      <c r="A11" s="3" t="s">
        <v>405</v>
      </c>
      <c r="B11" s="3" t="s">
        <v>406</v>
      </c>
      <c r="C11" s="3" t="s">
        <v>407</v>
      </c>
      <c r="D11" s="3" t="s">
        <v>408</v>
      </c>
    </row>
    <row r="12" spans="1:13" ht="28.5">
      <c r="A12" s="3" t="s">
        <v>409</v>
      </c>
      <c r="B12" s="3" t="s">
        <v>410</v>
      </c>
      <c r="C12" s="3" t="s">
        <v>411</v>
      </c>
      <c r="D12" s="3" t="s">
        <v>412</v>
      </c>
    </row>
    <row r="13" spans="1:13">
      <c r="A13" s="3" t="s">
        <v>413</v>
      </c>
      <c r="B13" s="3" t="s">
        <v>414</v>
      </c>
      <c r="C13" s="3" t="s">
        <v>415</v>
      </c>
      <c r="D13" s="3" t="s">
        <v>416</v>
      </c>
    </row>
    <row r="15" spans="1:13" ht="15">
      <c r="A15" s="30"/>
      <c r="B15" s="30"/>
      <c r="C15" s="30"/>
      <c r="D15" s="30"/>
      <c r="E15" s="30"/>
      <c r="F15" s="30"/>
      <c r="G15" s="30"/>
      <c r="H15" s="30"/>
    </row>
    <row r="16" spans="1:13">
      <c r="A16" s="31"/>
      <c r="B16" s="31"/>
      <c r="C16" s="31"/>
      <c r="D16" s="31"/>
      <c r="E16" s="31"/>
      <c r="F16" s="31"/>
      <c r="G16" s="31"/>
      <c r="H16" s="31"/>
    </row>
    <row r="17" spans="1:8">
      <c r="A17" s="32"/>
      <c r="B17" s="32"/>
      <c r="C17" s="32"/>
      <c r="D17" s="32"/>
      <c r="E17" s="32"/>
      <c r="F17" s="32"/>
      <c r="G17" s="32"/>
      <c r="H17" s="31"/>
    </row>
    <row r="18" spans="1:8">
      <c r="A18" s="31"/>
      <c r="B18" s="31"/>
      <c r="C18" s="31"/>
      <c r="D18" s="31"/>
      <c r="E18" s="31"/>
      <c r="F18" s="31"/>
      <c r="G18" s="31"/>
      <c r="H18" s="31"/>
    </row>
    <row r="19" spans="1:8">
      <c r="A19" s="31"/>
      <c r="B19" s="31"/>
      <c r="C19" s="31"/>
      <c r="D19" s="31"/>
      <c r="E19" s="31"/>
      <c r="F19" s="31"/>
      <c r="G19" s="31"/>
      <c r="H19" s="31"/>
    </row>
    <row r="20" spans="1:8">
      <c r="A20" s="31"/>
      <c r="B20" s="31"/>
      <c r="C20" s="31"/>
      <c r="D20" s="31"/>
      <c r="E20" s="31"/>
      <c r="F20" s="31"/>
      <c r="G20" s="31"/>
      <c r="H20" s="31"/>
    </row>
    <row r="21" spans="1:8">
      <c r="A21" s="31"/>
      <c r="B21" s="31"/>
      <c r="C21" s="31"/>
      <c r="D21" s="31"/>
      <c r="E21" s="31"/>
      <c r="F21" s="31"/>
      <c r="G21" s="31"/>
      <c r="H21" s="31"/>
    </row>
    <row r="22" spans="1:8">
      <c r="A22" s="31"/>
      <c r="B22" s="31"/>
      <c r="C22" s="31"/>
      <c r="D22" s="31"/>
      <c r="E22" s="31"/>
      <c r="F22" s="31"/>
      <c r="G22" s="31"/>
      <c r="H22" s="31"/>
    </row>
    <row r="23" spans="1:8">
      <c r="A23" s="31"/>
      <c r="B23" s="31"/>
      <c r="C23" s="31"/>
      <c r="D23" s="31"/>
      <c r="E23" s="31"/>
      <c r="F23" s="31"/>
      <c r="G23" s="31"/>
      <c r="H23" s="31"/>
    </row>
    <row r="24" spans="1:8">
      <c r="A24" s="31"/>
      <c r="B24" s="31"/>
      <c r="C24" s="31"/>
      <c r="D24" s="31"/>
      <c r="E24" s="31"/>
      <c r="F24" s="31"/>
      <c r="G24" s="31"/>
      <c r="H24" s="31"/>
    </row>
    <row r="25" spans="1:8">
      <c r="A25" s="31"/>
      <c r="B25" s="31"/>
      <c r="C25" s="31"/>
      <c r="D25" s="31"/>
      <c r="E25" s="31"/>
      <c r="F25" s="31"/>
      <c r="G25" s="31"/>
      <c r="H25" s="31"/>
    </row>
    <row r="26" spans="1:8">
      <c r="A26" s="31"/>
      <c r="B26" s="31"/>
      <c r="C26" s="31"/>
      <c r="D26" s="31"/>
      <c r="E26" s="31"/>
      <c r="F26" s="31"/>
      <c r="G26" s="31"/>
      <c r="H26" s="31"/>
    </row>
    <row r="27" spans="1:8">
      <c r="A27" s="32"/>
      <c r="B27" s="32"/>
      <c r="C27" s="32"/>
      <c r="D27" s="32"/>
      <c r="E27" s="32"/>
      <c r="F27" s="32"/>
      <c r="G27" s="32"/>
      <c r="H27" s="32"/>
    </row>
    <row r="28" spans="1:8">
      <c r="A28" s="31"/>
      <c r="B28" s="31"/>
      <c r="C28" s="31"/>
      <c r="D28" s="31"/>
      <c r="E28" s="31"/>
      <c r="F28" s="33"/>
      <c r="G28" s="33"/>
      <c r="H28" s="31"/>
    </row>
    <row r="29" spans="1:8">
      <c r="A29" s="32"/>
      <c r="B29" s="32"/>
      <c r="C29" s="32"/>
      <c r="D29" s="32"/>
      <c r="E29" s="32"/>
      <c r="F29" s="32"/>
      <c r="G29" s="32"/>
      <c r="H29" s="32"/>
    </row>
    <row r="30" spans="1:8">
      <c r="A30" s="34"/>
      <c r="B30" s="34"/>
      <c r="C30" s="34"/>
      <c r="D30" s="34"/>
      <c r="E30" s="35"/>
      <c r="F30" s="35"/>
      <c r="G30" s="35"/>
      <c r="H30" s="35"/>
    </row>
    <row r="31" spans="1:8">
      <c r="A31" s="34"/>
      <c r="B31" s="34"/>
      <c r="C31" s="34"/>
      <c r="D31" s="34"/>
      <c r="E31" s="35"/>
      <c r="F31" s="35"/>
      <c r="G31" s="35"/>
      <c r="H31" s="35"/>
    </row>
    <row r="32" spans="1:8">
      <c r="A32" s="34"/>
      <c r="B32" s="34"/>
      <c r="C32" s="34"/>
      <c r="D32" s="34"/>
      <c r="E32" s="35"/>
      <c r="F32" s="35"/>
      <c r="G32" s="35"/>
      <c r="H32" s="35"/>
    </row>
    <row r="33" spans="1:8">
      <c r="A33" s="34"/>
      <c r="B33" s="34"/>
      <c r="C33" s="34"/>
      <c r="D33" s="34"/>
      <c r="E33" s="35"/>
      <c r="F33" s="35"/>
      <c r="G33" s="35"/>
      <c r="H33" s="35"/>
    </row>
    <row r="34" spans="1:8">
      <c r="A34" s="34"/>
      <c r="B34" s="34"/>
      <c r="C34" s="34"/>
      <c r="D34" s="34"/>
      <c r="E34" s="35"/>
      <c r="F34" s="35"/>
      <c r="G34" s="35"/>
      <c r="H34" s="35"/>
    </row>
    <row r="35" spans="1:8" ht="15" customHeight="1">
      <c r="A35" s="36"/>
      <c r="B35" s="32"/>
      <c r="C35" s="32"/>
      <c r="D35" s="32"/>
      <c r="E35" s="32"/>
      <c r="F35" s="32"/>
      <c r="G35" s="32"/>
      <c r="H35" s="32"/>
    </row>
    <row r="36" spans="1:8">
      <c r="A36" s="33"/>
      <c r="B36" s="33"/>
      <c r="C36" s="33"/>
      <c r="D36" s="33"/>
      <c r="E36" s="35"/>
      <c r="F36" s="33"/>
      <c r="G36" s="33"/>
      <c r="H36" s="35"/>
    </row>
    <row r="37" spans="1:8">
      <c r="A37" s="33"/>
      <c r="B37" s="33"/>
      <c r="C37" s="33"/>
      <c r="D37" s="33"/>
      <c r="E37" s="35"/>
      <c r="F37" s="33"/>
      <c r="G37" s="33"/>
      <c r="H37" s="35"/>
    </row>
    <row r="38" spans="1:8">
      <c r="A38" s="31"/>
      <c r="B38" s="31"/>
      <c r="C38" s="31"/>
      <c r="D38" s="31"/>
      <c r="E38" s="35"/>
      <c r="F38" s="31"/>
      <c r="G38" s="31"/>
      <c r="H38" s="35"/>
    </row>
    <row r="39" spans="1:8">
      <c r="A39" s="31"/>
      <c r="B39" s="31"/>
      <c r="C39" s="31"/>
      <c r="D39" s="31"/>
      <c r="E39" s="35"/>
      <c r="F39" s="31"/>
      <c r="G39" s="31"/>
      <c r="H39" s="35"/>
    </row>
    <row r="40" spans="1:8">
      <c r="A40" s="31"/>
      <c r="B40" s="31"/>
      <c r="C40" s="31"/>
      <c r="D40" s="31"/>
      <c r="E40" s="35"/>
      <c r="F40" s="31"/>
      <c r="G40" s="31"/>
      <c r="H40" s="35"/>
    </row>
    <row r="41" spans="1:8">
      <c r="A41" s="31"/>
      <c r="B41" s="31"/>
      <c r="C41" s="31"/>
      <c r="D41" s="31"/>
      <c r="E41" s="35"/>
      <c r="F41" s="31"/>
      <c r="G41" s="31"/>
      <c r="H41" s="35"/>
    </row>
    <row r="42" spans="1:8">
      <c r="A42" s="31"/>
      <c r="B42" s="31"/>
      <c r="C42" s="31"/>
      <c r="D42" s="31"/>
      <c r="E42" s="35"/>
      <c r="F42" s="31"/>
      <c r="G42" s="31"/>
      <c r="H42" s="35"/>
    </row>
    <row r="43" spans="1:8">
      <c r="A43" s="36"/>
      <c r="B43" s="31"/>
      <c r="C43" s="31"/>
      <c r="D43" s="31"/>
      <c r="E43" s="35"/>
      <c r="F43" s="31"/>
      <c r="G43" s="31"/>
      <c r="H43" s="35"/>
    </row>
    <row r="44" spans="1:8">
      <c r="A44" s="33"/>
      <c r="B44" s="33"/>
      <c r="C44" s="33"/>
      <c r="D44" s="33"/>
      <c r="E44" s="33"/>
      <c r="F44" s="33"/>
      <c r="G44" s="33"/>
      <c r="H44" s="35"/>
    </row>
    <row r="45" spans="1:8">
      <c r="A45" s="33"/>
      <c r="B45" s="33"/>
      <c r="C45" s="33"/>
      <c r="D45" s="33"/>
      <c r="E45" s="33"/>
      <c r="F45" s="33"/>
      <c r="G45" s="33"/>
      <c r="H45" s="35"/>
    </row>
    <row r="46" spans="1:8">
      <c r="A46" s="32"/>
      <c r="B46" s="32"/>
      <c r="C46" s="33"/>
      <c r="D46" s="32"/>
      <c r="E46" s="32"/>
      <c r="F46" s="32"/>
      <c r="G46" s="32"/>
      <c r="H46" s="31"/>
    </row>
    <row r="47" spans="1:8">
      <c r="A47" s="32"/>
      <c r="B47" s="32"/>
      <c r="C47" s="33"/>
      <c r="D47" s="32"/>
      <c r="E47" s="32"/>
      <c r="F47" s="32"/>
      <c r="G47" s="32"/>
      <c r="H47" s="31"/>
    </row>
    <row r="48" spans="1:8">
      <c r="A48" s="32"/>
      <c r="B48" s="32"/>
      <c r="C48" s="33"/>
      <c r="D48" s="32"/>
      <c r="E48" s="32"/>
      <c r="F48" s="32"/>
      <c r="G48" s="32"/>
      <c r="H48" s="31"/>
    </row>
    <row r="49" spans="1:8">
      <c r="A49" s="32"/>
      <c r="B49" s="32"/>
      <c r="C49" s="33"/>
      <c r="D49" s="32"/>
      <c r="E49" s="32"/>
      <c r="F49" s="32"/>
      <c r="G49" s="32"/>
      <c r="H49" s="35"/>
    </row>
    <row r="50" spans="1:8">
      <c r="A50" s="32"/>
      <c r="B50" s="32"/>
      <c r="C50" s="33"/>
      <c r="D50" s="32"/>
      <c r="E50" s="32"/>
      <c r="F50" s="32"/>
      <c r="G50" s="32"/>
      <c r="H50" s="35"/>
    </row>
    <row r="51" spans="1:8">
      <c r="A51" s="32"/>
      <c r="B51" s="32"/>
      <c r="C51" s="33"/>
      <c r="D51" s="32"/>
      <c r="E51" s="32"/>
      <c r="F51" s="32"/>
      <c r="G51" s="32"/>
      <c r="H51" s="35"/>
    </row>
    <row r="52" spans="1:8">
      <c r="A52" s="32"/>
      <c r="B52" s="32"/>
      <c r="C52" s="33"/>
      <c r="D52" s="32"/>
      <c r="E52" s="32"/>
      <c r="F52" s="32"/>
      <c r="G52" s="32"/>
      <c r="H52" s="31"/>
    </row>
    <row r="53" spans="1:8">
      <c r="A53" s="32"/>
      <c r="B53" s="32"/>
      <c r="C53" s="32"/>
      <c r="D53" s="32"/>
      <c r="E53" s="32"/>
      <c r="F53" s="32"/>
      <c r="G53" s="32"/>
      <c r="H53" s="35"/>
    </row>
    <row r="54" spans="1:8">
      <c r="A54" s="33"/>
      <c r="B54" s="33"/>
      <c r="C54" s="33"/>
      <c r="D54" s="33"/>
      <c r="E54" s="35"/>
      <c r="F54" s="33"/>
      <c r="G54" s="33"/>
      <c r="H54" s="37"/>
    </row>
    <row r="55" spans="1:8">
      <c r="A55" s="33"/>
      <c r="B55" s="33"/>
      <c r="C55" s="33"/>
      <c r="D55" s="33"/>
      <c r="E55" s="35"/>
      <c r="F55" s="33"/>
      <c r="G55" s="33"/>
      <c r="H55" s="35"/>
    </row>
    <row r="56" spans="1:8">
      <c r="A56" s="33"/>
      <c r="B56" s="33"/>
      <c r="C56" s="33"/>
      <c r="D56" s="33"/>
      <c r="E56" s="35"/>
      <c r="F56" s="33"/>
      <c r="G56" s="33"/>
      <c r="H56" s="35"/>
    </row>
    <row r="57" spans="1:8">
      <c r="A57" s="33"/>
      <c r="B57" s="33"/>
      <c r="C57" s="33"/>
      <c r="D57" s="33"/>
      <c r="E57" s="35"/>
      <c r="F57" s="33"/>
      <c r="G57" s="33"/>
      <c r="H57" s="35"/>
    </row>
    <row r="58" spans="1:8">
      <c r="A58" s="33"/>
      <c r="B58" s="33"/>
      <c r="C58" s="33"/>
      <c r="D58" s="33"/>
      <c r="E58" s="35"/>
      <c r="F58" s="33"/>
      <c r="G58" s="33"/>
      <c r="H58" s="35"/>
    </row>
    <row r="59" spans="1:8">
      <c r="A59" s="33"/>
      <c r="B59" s="33"/>
      <c r="C59" s="33"/>
      <c r="D59" s="33"/>
      <c r="E59" s="35"/>
      <c r="F59" s="33"/>
      <c r="G59" s="33"/>
      <c r="H59" s="35"/>
    </row>
    <row r="60" spans="1:8">
      <c r="A60" s="33"/>
      <c r="B60" s="33"/>
      <c r="C60" s="33"/>
      <c r="D60" s="33"/>
      <c r="E60" s="35"/>
      <c r="F60" s="33"/>
      <c r="G60" s="33"/>
      <c r="H60" s="35"/>
    </row>
    <row r="61" spans="1:8">
      <c r="A61" s="32"/>
      <c r="B61" s="32"/>
      <c r="C61" s="32"/>
      <c r="D61" s="32"/>
      <c r="E61" s="32"/>
      <c r="F61" s="32"/>
      <c r="G61" s="32"/>
      <c r="H61" s="35"/>
    </row>
    <row r="62" spans="1:8">
      <c r="A62" s="32"/>
      <c r="B62" s="32"/>
      <c r="C62" s="32"/>
      <c r="D62" s="32"/>
      <c r="E62" s="32"/>
      <c r="F62" s="32"/>
      <c r="G62" s="32"/>
      <c r="H62" s="35"/>
    </row>
    <row r="63" spans="1:8">
      <c r="A63" s="33"/>
      <c r="B63" s="33"/>
      <c r="C63" s="33"/>
      <c r="D63" s="33"/>
      <c r="E63" s="33"/>
      <c r="F63" s="33"/>
      <c r="G63" s="33"/>
      <c r="H63" s="35"/>
    </row>
    <row r="64" spans="1:8">
      <c r="A64" s="33"/>
      <c r="B64" s="33"/>
      <c r="C64" s="33"/>
      <c r="D64" s="33"/>
      <c r="E64" s="33"/>
      <c r="F64" s="33"/>
      <c r="G64" s="33"/>
      <c r="H64" s="35"/>
    </row>
    <row r="65" spans="1:8">
      <c r="A65" s="33"/>
      <c r="B65" s="33"/>
      <c r="C65" s="33"/>
      <c r="D65" s="33"/>
      <c r="E65" s="33"/>
      <c r="F65" s="33"/>
      <c r="G65" s="33"/>
      <c r="H65" s="35"/>
    </row>
    <row r="66" spans="1:8">
      <c r="A66" s="33"/>
      <c r="B66" s="33"/>
      <c r="C66" s="33"/>
      <c r="D66" s="33"/>
      <c r="E66" s="33"/>
      <c r="F66" s="33"/>
      <c r="G66" s="33"/>
      <c r="H66" s="35"/>
    </row>
    <row r="67" spans="1:8">
      <c r="A67" s="32"/>
      <c r="B67" s="32"/>
      <c r="C67" s="32"/>
      <c r="D67" s="32"/>
      <c r="E67" s="32"/>
      <c r="F67" s="32"/>
      <c r="G67" s="32"/>
      <c r="H67" s="35"/>
    </row>
    <row r="68" spans="1:8">
      <c r="A68" s="32"/>
      <c r="B68" s="32"/>
      <c r="C68" s="32"/>
      <c r="D68" s="32"/>
      <c r="E68" s="32"/>
      <c r="F68" s="32"/>
      <c r="G68" s="32"/>
      <c r="H68" s="35"/>
    </row>
    <row r="69" spans="1:8">
      <c r="A69" s="32"/>
      <c r="B69" s="32"/>
      <c r="C69" s="32"/>
      <c r="D69" s="32"/>
      <c r="E69" s="32"/>
      <c r="F69" s="32"/>
      <c r="G69" s="32"/>
      <c r="H69" s="35"/>
    </row>
    <row r="70" spans="1:8">
      <c r="A70" s="32"/>
      <c r="B70" s="32"/>
      <c r="C70" s="32"/>
      <c r="D70" s="32"/>
      <c r="E70" s="32"/>
      <c r="F70" s="32"/>
      <c r="G70" s="32"/>
      <c r="H70" s="35"/>
    </row>
    <row r="71" spans="1:8">
      <c r="A71" s="32"/>
      <c r="B71" s="32"/>
      <c r="C71" s="32"/>
      <c r="D71" s="32"/>
      <c r="E71" s="32"/>
      <c r="F71" s="32"/>
      <c r="G71" s="32"/>
      <c r="H71" s="35"/>
    </row>
    <row r="72" spans="1:8">
      <c r="A72" s="32"/>
      <c r="B72" s="32"/>
      <c r="C72" s="32"/>
      <c r="D72" s="32"/>
      <c r="E72" s="32"/>
      <c r="F72" s="32"/>
      <c r="G72" s="32"/>
      <c r="H72" s="35"/>
    </row>
    <row r="73" spans="1:8">
      <c r="A73" s="32"/>
      <c r="B73" s="32"/>
      <c r="C73" s="32"/>
      <c r="D73" s="32"/>
      <c r="E73" s="32"/>
      <c r="F73" s="32"/>
      <c r="G73" s="32"/>
      <c r="H73" s="35"/>
    </row>
    <row r="74" spans="1:8">
      <c r="A74" s="32"/>
      <c r="B74" s="32"/>
      <c r="C74" s="32"/>
      <c r="D74" s="32"/>
      <c r="E74" s="32"/>
      <c r="F74" s="32"/>
      <c r="G74" s="32"/>
      <c r="H74" s="35"/>
    </row>
    <row r="75" spans="1:8">
      <c r="A75" s="32"/>
      <c r="B75" s="32"/>
      <c r="C75" s="32"/>
      <c r="D75" s="32"/>
      <c r="E75" s="32"/>
      <c r="F75" s="32"/>
      <c r="G75" s="32"/>
      <c r="H75" s="35"/>
    </row>
  </sheetData>
  <mergeCells count="1">
    <mergeCell ref="A1:M1"/>
  </mergeCells>
  <dataValidations count="3">
    <dataValidation type="list" sqref="C16:C17 C29 C35" xr:uid="{00000000-0002-0000-0400-000000000000}">
      <formula1>"CAN-A01,CAN-A02,CAN-A03,CAN-A04,CAN-A05,CAN-B01,CAN-B02,CAN-B03,CAN-B04,CAN-B05"</formula1>
    </dataValidation>
    <dataValidation type="list" sqref="E16:E26 E28:E43 E54:E60" xr:uid="{00000000-0002-0000-0400-000001000000}">
      <formula1>"Critical,Major,Minor,Comment"</formula1>
    </dataValidation>
    <dataValidation type="list" sqref="H16:H26 H28:H75" xr:uid="{00000000-0002-0000-0400-000002000000}">
      <formula1>"Open,Accepted,Rejected,Resolved"</formula1>
    </dataValidation>
  </dataValidations>
  <pageMargins left="0.7" right="0.7" top="0.75" bottom="0.75" header="0.3" footer="0.3"/>
  <tableParts count="1">
    <tablePart r:id="rId1"/>
  </tableParts>
</worksheet>
</file>

<file path=docMetadata/LabelInfo.xml><?xml version="1.0" encoding="utf-8"?>
<clbl:labelList xmlns:clbl="http://schemas.microsoft.com/office/2020/mipLabelMetadata">
  <clbl:label id="{4b512a4e-bb54-4328-ad34-d43205aaa1ec}" enabled="1" method="Privilege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Open point</vt:lpstr>
      <vt:lpstr>DET Matrix</vt:lpstr>
      <vt:lpstr>Review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 Nguyen Khac Trung</dc:creator>
  <cp:keywords/>
  <dc:description/>
  <cp:lastModifiedBy>Sơn Đồng</cp:lastModifiedBy>
  <cp:revision/>
  <dcterms:created xsi:type="dcterms:W3CDTF">2026-10-12T07:11:21Z</dcterms:created>
  <dcterms:modified xsi:type="dcterms:W3CDTF">2026-10-24T12:19:52Z</dcterms:modified>
  <cp:category/>
  <cp:contentStatus/>
</cp:coreProperties>
</file>